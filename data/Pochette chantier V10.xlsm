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02_DOCUMENTATIONS\10_MODELES DOCUMENTS\03_CHANTIERS\POCHETTE CHANTIER\"/>
    </mc:Choice>
  </mc:AlternateContent>
  <xr:revisionPtr revIDLastSave="0" documentId="13_ncr:1_{EBF93098-51BA-494D-8CDA-B72D719AD347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DONNEES" sheetId="1" state="hidden" r:id="rId1"/>
    <sheet name="METRE" sheetId="2" r:id="rId2"/>
    <sheet name="Feuil1" sheetId="12" r:id="rId3"/>
    <sheet name="Onduleur" sheetId="6" state="hidden" r:id="rId4"/>
    <sheet name="Panneaux" sheetId="7" state="hidden" r:id="rId5"/>
    <sheet name="Kit" sheetId="8" state="hidden" r:id="rId6"/>
    <sheet name="Comm" sheetId="9" state="hidden" r:id="rId7"/>
    <sheet name="Câble" sheetId="10" state="hidden" r:id="rId8"/>
    <sheet name="DB_Câble" sheetId="11" state="hidden" r:id="rId9"/>
  </sheets>
  <externalReferences>
    <externalReference r:id="rId10"/>
    <externalReference r:id="rId11"/>
  </externalReferences>
  <definedNames>
    <definedName name="_xlnm._FilterDatabase" localSheetId="0" hidden="1">DONNEES!$A$59</definedName>
    <definedName name="Comm">Comm!$A$2:$A$20</definedName>
    <definedName name="Commercial">[1]DONNEES!$H$2:$H$7</definedName>
    <definedName name="Frais_autre">METRE!#REF!</definedName>
    <definedName name="HT_TTC">METRE!#REF!</definedName>
    <definedName name="Kit">Kit!$A$2:$A$100</definedName>
    <definedName name="Ond">Onduleur!$A$3:$A$100</definedName>
    <definedName name="Onduleur">DONNEES!$F$34:$F$58</definedName>
    <definedName name="PV">Panneaux!$A$2:$A$100</definedName>
    <definedName name="remboursement">METRE!$AF$106:$AF$107</definedName>
    <definedName name="sec_al">[2]Note!$F$24:$F$35</definedName>
    <definedName name="sec_cu">[2]Note!$F$7:$F$22</definedName>
    <definedName name="type_al">Câble!$F$19:$K$30</definedName>
    <definedName name="type_cu">Câble!$F$2:$K$17</definedName>
    <definedName name="_xlnm.Print_Area" localSheetId="1">METRE!$A$1:$AU$227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3" i="2" l="1"/>
  <c r="AN58" i="2"/>
  <c r="Z117" i="2"/>
  <c r="AE154" i="2"/>
  <c r="AN170" i="2"/>
  <c r="AD132" i="2"/>
  <c r="AK132" i="2"/>
  <c r="AR132" i="2"/>
  <c r="P170" i="2"/>
  <c r="P58" i="2"/>
  <c r="AM157" i="2"/>
  <c r="AM154" i="2"/>
  <c r="AE157" i="2"/>
  <c r="AG135" i="2"/>
  <c r="AP125" i="2"/>
  <c r="AP123" i="2"/>
  <c r="AP121" i="2"/>
  <c r="AD127" i="2"/>
  <c r="AD125" i="2"/>
  <c r="AD123" i="2"/>
  <c r="AD121" i="2"/>
  <c r="AN117" i="2"/>
  <c r="B13" i="1"/>
  <c r="B71" i="1" l="1"/>
  <c r="B3" i="10" l="1"/>
  <c r="O41" i="10" l="1"/>
  <c r="O40" i="10"/>
  <c r="L41" i="10"/>
  <c r="L40" i="10"/>
  <c r="K41" i="10"/>
  <c r="K40" i="10"/>
  <c r="J41" i="10"/>
  <c r="J40" i="10"/>
  <c r="Q27" i="10" l="1"/>
  <c r="Q28" i="10"/>
  <c r="Q29" i="10"/>
  <c r="Q30" i="10"/>
  <c r="Q31" i="10"/>
  <c r="Q32" i="10"/>
  <c r="Q33" i="10"/>
  <c r="Q34" i="10"/>
  <c r="Q35" i="10"/>
  <c r="Q36" i="10"/>
  <c r="Q26" i="10"/>
  <c r="P27" i="10"/>
  <c r="P28" i="10"/>
  <c r="P29" i="10"/>
  <c r="P30" i="10"/>
  <c r="P31" i="10"/>
  <c r="P32" i="10"/>
  <c r="P33" i="10"/>
  <c r="P34" i="10"/>
  <c r="P35" i="10"/>
  <c r="P36" i="10"/>
  <c r="P26" i="10"/>
  <c r="M27" i="10"/>
  <c r="M28" i="10"/>
  <c r="M29" i="10"/>
  <c r="M30" i="10"/>
  <c r="M31" i="10"/>
  <c r="M32" i="10"/>
  <c r="M33" i="10"/>
  <c r="M34" i="10"/>
  <c r="M35" i="10"/>
  <c r="M36" i="10"/>
  <c r="M26" i="10"/>
  <c r="L27" i="10"/>
  <c r="L28" i="10"/>
  <c r="L29" i="10"/>
  <c r="L30" i="10"/>
  <c r="L31" i="10"/>
  <c r="L32" i="10"/>
  <c r="L33" i="10"/>
  <c r="L34" i="10"/>
  <c r="L35" i="10"/>
  <c r="L36" i="10"/>
  <c r="L26" i="10"/>
  <c r="Q5" i="10"/>
  <c r="Q4" i="10"/>
  <c r="P5" i="10"/>
  <c r="P6" i="10"/>
  <c r="P7" i="10"/>
  <c r="P8" i="10"/>
  <c r="P9" i="10"/>
  <c r="P10" i="10"/>
  <c r="P11" i="10"/>
  <c r="P4" i="10"/>
  <c r="M5" i="10"/>
  <c r="M6" i="10"/>
  <c r="M7" i="10"/>
  <c r="M8" i="10"/>
  <c r="M9" i="10"/>
  <c r="M10" i="10"/>
  <c r="M11" i="10"/>
  <c r="M4" i="10"/>
  <c r="L5" i="10"/>
  <c r="L6" i="10"/>
  <c r="L7" i="10"/>
  <c r="L12" i="10" s="1"/>
  <c r="L8" i="10"/>
  <c r="L18" i="10" s="1"/>
  <c r="L9" i="10"/>
  <c r="L14" i="10" s="1"/>
  <c r="L10" i="10"/>
  <c r="L15" i="10" s="1"/>
  <c r="L11" i="10"/>
  <c r="L21" i="10" s="1"/>
  <c r="L4" i="10"/>
  <c r="L17" i="10" l="1"/>
  <c r="L13" i="10"/>
  <c r="L16" i="10"/>
  <c r="L20" i="10"/>
  <c r="L19" i="10"/>
  <c r="O36" i="10"/>
  <c r="O35" i="10"/>
  <c r="O34" i="10"/>
  <c r="O33" i="10"/>
  <c r="O32" i="10"/>
  <c r="O31" i="10"/>
  <c r="O30" i="10"/>
  <c r="O29" i="10"/>
  <c r="O28" i="10"/>
  <c r="O27" i="10"/>
  <c r="O26" i="10"/>
  <c r="P19" i="10"/>
  <c r="P18" i="10"/>
  <c r="P14" i="10"/>
  <c r="M14" i="10"/>
  <c r="P22" i="10"/>
  <c r="M21" i="10"/>
  <c r="P15" i="10"/>
  <c r="L22" i="10"/>
  <c r="M19" i="10"/>
  <c r="P13" i="10"/>
  <c r="M13" i="10"/>
  <c r="P12" i="10"/>
  <c r="M17" i="10"/>
  <c r="AG3" i="10"/>
  <c r="AF3" i="10"/>
  <c r="AE3" i="10"/>
  <c r="AD3" i="10"/>
  <c r="AC3" i="10"/>
  <c r="AB3" i="10"/>
  <c r="AA3" i="10"/>
  <c r="Z3" i="10"/>
  <c r="Y3" i="10"/>
  <c r="X3" i="10"/>
  <c r="W3" i="10"/>
  <c r="V3" i="10"/>
  <c r="U3" i="10"/>
  <c r="T3" i="10"/>
  <c r="S3" i="10"/>
  <c r="R3" i="10"/>
  <c r="M12" i="10" l="1"/>
  <c r="M16" i="10"/>
  <c r="M20" i="10"/>
  <c r="P17" i="10"/>
  <c r="P21" i="10"/>
  <c r="M15" i="10"/>
  <c r="P16" i="10"/>
  <c r="P20" i="10"/>
  <c r="M18" i="10"/>
  <c r="M22" i="10"/>
  <c r="B45" i="1" l="1"/>
  <c r="C39" i="1"/>
  <c r="B29" i="1"/>
  <c r="E27" i="1"/>
  <c r="B27" i="1"/>
  <c r="C27" i="1"/>
  <c r="A31" i="1" s="1"/>
  <c r="D26" i="1"/>
  <c r="A25" i="1"/>
  <c r="B22" i="1"/>
  <c r="B21" i="1"/>
  <c r="F12" i="1"/>
  <c r="F5" i="1"/>
  <c r="E28" i="1" l="1"/>
  <c r="B51" i="1" l="1"/>
  <c r="B8" i="10" l="1"/>
  <c r="O9" i="10" l="1"/>
  <c r="O5" i="10"/>
  <c r="O4" i="10"/>
  <c r="O11" i="10"/>
  <c r="O10" i="10"/>
  <c r="O6" i="10"/>
  <c r="O7" i="10"/>
  <c r="O17" i="10"/>
  <c r="O13" i="10"/>
  <c r="O21" i="10"/>
  <c r="O14" i="10"/>
  <c r="O19" i="10"/>
  <c r="O8" i="10"/>
  <c r="O22" i="10"/>
  <c r="O16" i="10"/>
  <c r="O20" i="10"/>
  <c r="O18" i="10"/>
  <c r="O12" i="10"/>
  <c r="O15" i="10"/>
  <c r="D38" i="1"/>
  <c r="D32" i="1"/>
  <c r="B4" i="10" l="1"/>
  <c r="B6" i="10"/>
  <c r="N31" i="10" l="1"/>
  <c r="N28" i="10"/>
  <c r="N13" i="10"/>
  <c r="N5" i="10"/>
  <c r="AI2" i="10"/>
  <c r="AH3" i="10" s="1"/>
  <c r="N30" i="10"/>
  <c r="N9" i="10"/>
  <c r="N21" i="10"/>
  <c r="N35" i="10"/>
  <c r="N20" i="10"/>
  <c r="N16" i="10"/>
  <c r="N12" i="10"/>
  <c r="N10" i="10"/>
  <c r="N32" i="10"/>
  <c r="N8" i="10"/>
  <c r="N6" i="10"/>
  <c r="N29" i="10"/>
  <c r="N26" i="10"/>
  <c r="N15" i="10"/>
  <c r="N14" i="10"/>
  <c r="N34" i="10"/>
  <c r="N7" i="10"/>
  <c r="N36" i="10"/>
  <c r="N19" i="10"/>
  <c r="N18" i="10"/>
  <c r="N33" i="10"/>
  <c r="N27" i="10"/>
  <c r="N11" i="10"/>
  <c r="N4" i="10"/>
  <c r="N22" i="10"/>
  <c r="N17" i="10"/>
  <c r="S4" i="10"/>
  <c r="C17" i="10"/>
  <c r="H12" i="1" l="1"/>
  <c r="I12" i="1"/>
  <c r="F4" i="1" l="1"/>
  <c r="B52" i="1" l="1"/>
  <c r="B70" i="1"/>
  <c r="B69" i="1"/>
  <c r="B68" i="1"/>
  <c r="B67" i="1"/>
  <c r="B66" i="1"/>
  <c r="B20" i="1"/>
  <c r="B19" i="1"/>
  <c r="B18" i="1"/>
  <c r="B17" i="1"/>
  <c r="B12" i="1" l="1"/>
  <c r="B39" i="1"/>
  <c r="B33" i="1"/>
  <c r="E39" i="1"/>
  <c r="E33" i="1"/>
  <c r="C33" i="1"/>
  <c r="A37" i="1" s="1"/>
  <c r="B41" i="1"/>
  <c r="B35" i="1"/>
  <c r="G12" i="1" l="1"/>
  <c r="A43" i="1" l="1"/>
  <c r="B1" i="1"/>
  <c r="E40" i="1" l="1"/>
  <c r="E42" i="1"/>
  <c r="E41" i="1" s="1"/>
  <c r="E30" i="1"/>
  <c r="E34" i="1"/>
  <c r="E36" i="1"/>
  <c r="E35" i="1"/>
  <c r="L27" i="1" l="1"/>
  <c r="L29" i="1"/>
  <c r="E29" i="1" l="1"/>
  <c r="L28" i="1" s="1"/>
  <c r="L30" i="1" l="1"/>
  <c r="B2" i="10" s="1"/>
  <c r="B5" i="10" l="1"/>
  <c r="I26" i="10" l="1"/>
  <c r="I4" i="10"/>
  <c r="B57" i="1"/>
  <c r="I5" i="10" l="1"/>
  <c r="I6" i="10" s="1"/>
  <c r="I7" i="10" s="1"/>
  <c r="I8" i="10" s="1"/>
  <c r="I9" i="10" s="1"/>
  <c r="I10" i="10" s="1"/>
  <c r="I11" i="10" s="1"/>
  <c r="I13" i="10" s="1"/>
  <c r="I14" i="10" s="1"/>
  <c r="I15" i="10" s="1"/>
  <c r="I17" i="10" s="1"/>
  <c r="I27" i="10"/>
  <c r="I28" i="10" s="1"/>
  <c r="I29" i="10" s="1"/>
  <c r="I30" i="10" s="1"/>
  <c r="I31" i="10" s="1"/>
  <c r="I32" i="10" s="1"/>
  <c r="I33" i="10" s="1"/>
  <c r="I34" i="10" s="1"/>
  <c r="I35" i="10" s="1"/>
  <c r="I36" i="10" s="1"/>
  <c r="J12" i="1"/>
  <c r="G13" i="1" s="1"/>
  <c r="G9" i="1" s="1"/>
  <c r="B16" i="10" l="1"/>
  <c r="E16" i="10"/>
  <c r="B24" i="10" s="1"/>
  <c r="F24" i="10" s="1"/>
  <c r="C16" i="10"/>
  <c r="D16" i="10"/>
  <c r="D18" i="10" s="1"/>
  <c r="I16" i="10"/>
  <c r="I18" i="10" s="1"/>
  <c r="I19" i="10" s="1"/>
  <c r="I21" i="10" s="1"/>
  <c r="I12" i="10"/>
  <c r="I20" i="10" l="1"/>
  <c r="I22" i="10" l="1"/>
  <c r="B15" i="10" s="1"/>
  <c r="E15" i="10"/>
  <c r="D15" i="10" l="1"/>
  <c r="D17" i="10" s="1"/>
  <c r="C15" i="10"/>
  <c r="I40" i="10" s="1"/>
  <c r="B30" i="10"/>
  <c r="B32" i="10" s="1"/>
  <c r="C23" i="10"/>
  <c r="A17" i="10"/>
  <c r="B23" i="10"/>
  <c r="I41" i="10" l="1"/>
  <c r="D23" i="10" s="1"/>
  <c r="B20" i="10"/>
  <c r="B21" i="10"/>
  <c r="E23" i="10"/>
  <c r="B27" i="10" s="1"/>
  <c r="B26" i="10" l="1"/>
  <c r="A28" i="10"/>
  <c r="C27" i="10"/>
  <c r="F23" i="10"/>
</calcChain>
</file>

<file path=xl/sharedStrings.xml><?xml version="1.0" encoding="utf-8"?>
<sst xmlns="http://schemas.openxmlformats.org/spreadsheetml/2006/main" count="3156" uniqueCount="907">
  <si>
    <t>Technologies</t>
  </si>
  <si>
    <t>Type</t>
  </si>
  <si>
    <t>Marque</t>
  </si>
  <si>
    <t>Quantité</t>
  </si>
  <si>
    <t>€</t>
  </si>
  <si>
    <t>m²</t>
  </si>
  <si>
    <t>Surface</t>
  </si>
  <si>
    <t>Conforme norme IEC 61215</t>
  </si>
  <si>
    <t>Intégration</t>
  </si>
  <si>
    <t>Référence</t>
  </si>
  <si>
    <t>%</t>
  </si>
  <si>
    <t>Mode de pose</t>
  </si>
  <si>
    <t>Paysage</t>
  </si>
  <si>
    <t>Téléphone</t>
  </si>
  <si>
    <t>Type intégration</t>
  </si>
  <si>
    <t>Produit</t>
  </si>
  <si>
    <t>puissance</t>
  </si>
  <si>
    <t>longueur</t>
  </si>
  <si>
    <t>largeur</t>
  </si>
  <si>
    <t>orientation</t>
  </si>
  <si>
    <t>portrait</t>
  </si>
  <si>
    <t>paysage</t>
  </si>
  <si>
    <t>technologie</t>
  </si>
  <si>
    <t>Poly</t>
  </si>
  <si>
    <t>Epaisseur</t>
  </si>
  <si>
    <t>Divers1</t>
  </si>
  <si>
    <t>Divers2</t>
  </si>
  <si>
    <t>polycristallines</t>
  </si>
  <si>
    <t>Plage d'entrée</t>
  </si>
  <si>
    <t>P Entrée Max</t>
  </si>
  <si>
    <t>Nbr d'entrée</t>
  </si>
  <si>
    <t>P Out Nom</t>
  </si>
  <si>
    <t>Dimension</t>
  </si>
  <si>
    <t>Classe de Protection</t>
  </si>
  <si>
    <t>Conforme norme VDE 0126-1-1</t>
  </si>
  <si>
    <t>Type De Condition</t>
  </si>
  <si>
    <t>Signature</t>
  </si>
  <si>
    <t>Livraison</t>
  </si>
  <si>
    <t>Fin</t>
  </si>
  <si>
    <t>20%</t>
  </si>
  <si>
    <t>5%</t>
  </si>
  <si>
    <t>30%</t>
  </si>
  <si>
    <t>Jacky LORANT</t>
  </si>
  <si>
    <t>Frédéric HALNA</t>
  </si>
  <si>
    <t>Sébastien GORON</t>
  </si>
  <si>
    <t>TOTAL HT</t>
  </si>
  <si>
    <t>TOTAL</t>
  </si>
  <si>
    <t>Mise en service</t>
  </si>
  <si>
    <t>Pout Max</t>
  </si>
  <si>
    <t>T</t>
  </si>
  <si>
    <t>M</t>
  </si>
  <si>
    <t>Représenté par</t>
  </si>
  <si>
    <t>L1</t>
  </si>
  <si>
    <t>L2</t>
  </si>
  <si>
    <t>L3</t>
  </si>
  <si>
    <t>Monophasé</t>
  </si>
  <si>
    <t>Triphasé</t>
  </si>
  <si>
    <t>NA</t>
  </si>
  <si>
    <t>j.lorant@emeraude-solaire.com</t>
  </si>
  <si>
    <t>f.halna@emeraude-solaire.com</t>
  </si>
  <si>
    <t>s.goron@emeraude-solaire.com</t>
  </si>
  <si>
    <t>Pnom(kVA)</t>
  </si>
  <si>
    <t>Prix</t>
  </si>
  <si>
    <t>SMA</t>
  </si>
  <si>
    <t>Sommes</t>
  </si>
  <si>
    <t>Garantie 10 ans</t>
  </si>
  <si>
    <t>IP 65</t>
  </si>
  <si>
    <t>Cadre aluminium</t>
  </si>
  <si>
    <t>Cadre</t>
  </si>
  <si>
    <t>Portrait</t>
  </si>
  <si>
    <t>RS485</t>
  </si>
  <si>
    <t>320V-800V</t>
  </si>
  <si>
    <t>360V-800V</t>
  </si>
  <si>
    <t>Q.CELLS</t>
  </si>
  <si>
    <t>Sunny Tripower 15000 TL</t>
  </si>
  <si>
    <t>IP65</t>
  </si>
  <si>
    <t>Mono/Tri</t>
  </si>
  <si>
    <t>175V-500V</t>
  </si>
  <si>
    <t>Solabac</t>
  </si>
  <si>
    <t>ItalSolar</t>
  </si>
  <si>
    <t>Pente &gt; 5°</t>
  </si>
  <si>
    <t>06 79 73 40 18</t>
  </si>
  <si>
    <t>HUAWEI</t>
  </si>
  <si>
    <t>2+2</t>
  </si>
  <si>
    <t>HUA</t>
  </si>
  <si>
    <t>480V-800V</t>
  </si>
  <si>
    <t>Sunny Tripower 25000 TL</t>
  </si>
  <si>
    <t>390V-800V</t>
  </si>
  <si>
    <t>661 x 682 x 264 mm</t>
  </si>
  <si>
    <t>Sunny Tripower 20000 TL</t>
  </si>
  <si>
    <t>Garantie 5 ans</t>
  </si>
  <si>
    <t>Mono</t>
  </si>
  <si>
    <t>monocristallines</t>
  </si>
  <si>
    <t>Longueur</t>
  </si>
  <si>
    <t>Cu</t>
  </si>
  <si>
    <t>Al</t>
  </si>
  <si>
    <t>XXX</t>
  </si>
  <si>
    <t>70%</t>
  </si>
  <si>
    <t>50%</t>
  </si>
  <si>
    <t>Q.CELLS 300M</t>
  </si>
  <si>
    <t>QC300M</t>
  </si>
  <si>
    <t>06 07 98 20 84</t>
  </si>
  <si>
    <t>06 85 54 15 16</t>
  </si>
  <si>
    <t>06 85 54 23 70</t>
  </si>
  <si>
    <t>SUN2000-33KTL-A</t>
  </si>
  <si>
    <t>930 x 550 x 260 mm</t>
  </si>
  <si>
    <t>Olivier DARDIER</t>
  </si>
  <si>
    <t>o.dardier@emeraude-solaire.com</t>
  </si>
  <si>
    <t>Sunny Tripower Core 1</t>
  </si>
  <si>
    <t>500V-800V</t>
  </si>
  <si>
    <t>621 x 733 x 569 mm</t>
  </si>
  <si>
    <t>06 31 07 59 55</t>
  </si>
  <si>
    <t>SUN2000-60KTL-M0</t>
  </si>
  <si>
    <t>200V-1000V</t>
  </si>
  <si>
    <t>6 x 2</t>
  </si>
  <si>
    <t>1075 x 555 x 300 mm</t>
  </si>
  <si>
    <t>Q.CELLS 330M</t>
  </si>
  <si>
    <t>QC330M</t>
  </si>
  <si>
    <t>Q.CELLS 290P</t>
  </si>
  <si>
    <t>QC290P</t>
  </si>
  <si>
    <t>Q.CELLS 300P</t>
  </si>
  <si>
    <t>Q.PLUS DUO-G5 300</t>
  </si>
  <si>
    <t>QC300P</t>
  </si>
  <si>
    <t>SUNBALLAST</t>
  </si>
  <si>
    <t>Surimposition</t>
  </si>
  <si>
    <t>07 85 33 93 37</t>
  </si>
  <si>
    <t>Vincent MICHEL</t>
  </si>
  <si>
    <t>v.michel@emeraude-solaire.com</t>
  </si>
  <si>
    <t>SpeedWire / Webconnect</t>
  </si>
  <si>
    <t>Sunny Boy 1.5</t>
  </si>
  <si>
    <t>160V-500V</t>
  </si>
  <si>
    <t>460 x 357 x 122 mm</t>
  </si>
  <si>
    <t>Sunny Boy 2.5</t>
  </si>
  <si>
    <t>260V-500V</t>
  </si>
  <si>
    <t>SUNNY BOY 3.0</t>
  </si>
  <si>
    <t>5,5 kW</t>
  </si>
  <si>
    <t>110V-500V</t>
  </si>
  <si>
    <t>435 x 470 x 176 mm</t>
  </si>
  <si>
    <t>SUNNY BOY 3.6</t>
  </si>
  <si>
    <t>130V-500V</t>
  </si>
  <si>
    <t>SUNNY BOY 4.0</t>
  </si>
  <si>
    <t>7,5 kW</t>
  </si>
  <si>
    <t>140V-500V</t>
  </si>
  <si>
    <t>SUNNY BOY 5.0</t>
  </si>
  <si>
    <t>Sunny tripower 3.0</t>
  </si>
  <si>
    <t>6 kW</t>
  </si>
  <si>
    <t>140V-800V</t>
  </si>
  <si>
    <t>Sunny tripower 4.0</t>
  </si>
  <si>
    <t>8 kW</t>
  </si>
  <si>
    <t>175V-800V</t>
  </si>
  <si>
    <t>Sunny tripower 5.0</t>
  </si>
  <si>
    <t>9 kW</t>
  </si>
  <si>
    <t>215V-800V</t>
  </si>
  <si>
    <t>Sunny tripower 6.0</t>
  </si>
  <si>
    <t>260V-800V</t>
  </si>
  <si>
    <t>Q.CELLS 285P</t>
  </si>
  <si>
    <t>QC285P</t>
  </si>
  <si>
    <t>QC295M</t>
  </si>
  <si>
    <t>FibroSolar</t>
  </si>
  <si>
    <t>ItalSolar + FibroSolar</t>
  </si>
  <si>
    <t>ItalSolar + K2</t>
  </si>
  <si>
    <t>Donnée</t>
  </si>
  <si>
    <t>Valeur</t>
  </si>
  <si>
    <t>Unité</t>
  </si>
  <si>
    <t>P</t>
  </si>
  <si>
    <t>kVA</t>
  </si>
  <si>
    <t>Choix</t>
  </si>
  <si>
    <t>ALU Resist.</t>
  </si>
  <si>
    <t>PR2</t>
  </si>
  <si>
    <t>PR 3</t>
  </si>
  <si>
    <t>I Admi.</t>
  </si>
  <si>
    <t>L</t>
  </si>
  <si>
    <t>m</t>
  </si>
  <si>
    <t>Depuis Etude</t>
  </si>
  <si>
    <t>Qte</t>
  </si>
  <si>
    <t>Sect</t>
  </si>
  <si>
    <t>Tri</t>
  </si>
  <si>
    <t>4 x</t>
  </si>
  <si>
    <t>2 x</t>
  </si>
  <si>
    <t>I</t>
  </si>
  <si>
    <t>A</t>
  </si>
  <si>
    <t>Depuis DB</t>
  </si>
  <si>
    <t>AL/CU</t>
  </si>
  <si>
    <t>Nombre de phases (1 pour Tri / 2 pour Mono)</t>
  </si>
  <si>
    <t>Facteur de correction / Mode de pose</t>
  </si>
  <si>
    <t>Facteur de correction / Type de terrain</t>
  </si>
  <si>
    <t>Cos Phi</t>
  </si>
  <si>
    <t>Tension N-Ph</t>
  </si>
  <si>
    <t>CU Resist.</t>
  </si>
  <si>
    <t>Besoin Sup raccord AL sur TB</t>
  </si>
  <si>
    <t>Résultat</t>
  </si>
  <si>
    <t>Design.</t>
  </si>
  <si>
    <t>Min</t>
  </si>
  <si>
    <t>Max</t>
  </si>
  <si>
    <t>Michaud K127</t>
  </si>
  <si>
    <t>Michaud K126</t>
  </si>
  <si>
    <t>Imax</t>
  </si>
  <si>
    <t>RS485/WLAN</t>
  </si>
  <si>
    <t>Sébastien NEAUD</t>
  </si>
  <si>
    <t>06 27 67 59 28</t>
  </si>
  <si>
    <t>s.neaud@emeraude-solaire.com</t>
  </si>
  <si>
    <t>Cal. Ret.</t>
  </si>
  <si>
    <t xml:space="preserve">marge </t>
  </si>
  <si>
    <t>ALU</t>
  </si>
  <si>
    <t>PR3</t>
  </si>
  <si>
    <t>€/m - 4x</t>
  </si>
  <si>
    <t>€/m - 2x</t>
  </si>
  <si>
    <t>CUIVRE</t>
  </si>
  <si>
    <t>Design</t>
  </si>
  <si>
    <t>max</t>
  </si>
  <si>
    <t>SUN2000-3KTL-L1</t>
  </si>
  <si>
    <t>140V-850V</t>
  </si>
  <si>
    <t>1+1</t>
  </si>
  <si>
    <t>525 x 470 x 166 mm</t>
  </si>
  <si>
    <t>SUN2000-3KTL-M0</t>
  </si>
  <si>
    <t>SUN2000-4KTL-M0</t>
  </si>
  <si>
    <t>190V-850V</t>
  </si>
  <si>
    <t>SUN2000-5KTL-M0</t>
  </si>
  <si>
    <t>240V-850V</t>
  </si>
  <si>
    <t>SUN2000-6KTL-M0</t>
  </si>
  <si>
    <t>285V-850V</t>
  </si>
  <si>
    <t>SUN2000-8KTL-M0</t>
  </si>
  <si>
    <t>380V-850V</t>
  </si>
  <si>
    <t>SUN2000-10KTL-M0</t>
  </si>
  <si>
    <t>140V-980V</t>
  </si>
  <si>
    <t>SUN2000-12KTL-M0</t>
  </si>
  <si>
    <t>160V-950V</t>
  </si>
  <si>
    <t>520 x 470 x 262 mm</t>
  </si>
  <si>
    <t>SUN2000-15KTL-M0</t>
  </si>
  <si>
    <t>525 x 470 x 262 mm</t>
  </si>
  <si>
    <t>SUN2000-17KTL-M0</t>
  </si>
  <si>
    <t>SUN2000-20KTL-M0</t>
  </si>
  <si>
    <t>SUN2000-100KTL-M1</t>
  </si>
  <si>
    <t>10 x 2</t>
  </si>
  <si>
    <t>1035 x 700 x 365 mm</t>
  </si>
  <si>
    <t>IP66</t>
  </si>
  <si>
    <t>SE17K</t>
  </si>
  <si>
    <t>SolarEdge</t>
  </si>
  <si>
    <t>750V</t>
  </si>
  <si>
    <t>540 x 315 x 260 mm</t>
  </si>
  <si>
    <t>RS485/Eth</t>
  </si>
  <si>
    <t>SEd</t>
  </si>
  <si>
    <t>SE25K</t>
  </si>
  <si>
    <t>RPI M50A</t>
  </si>
  <si>
    <t>DELTA</t>
  </si>
  <si>
    <t>50kW</t>
  </si>
  <si>
    <t>RS485 - USB - Eth</t>
  </si>
  <si>
    <t>DEL</t>
  </si>
  <si>
    <t>Sununo Plus 3K</t>
  </si>
  <si>
    <t>SAJ</t>
  </si>
  <si>
    <t>60V-450V</t>
  </si>
  <si>
    <t>354 x 305 x 120 mm</t>
  </si>
  <si>
    <t>Wi-Fi</t>
  </si>
  <si>
    <t>M250-60-230-S22</t>
  </si>
  <si>
    <t>ENPHASE</t>
  </si>
  <si>
    <t>16V-48V</t>
  </si>
  <si>
    <t>179 x 217 x 28 mm</t>
  </si>
  <si>
    <t>IP 67</t>
  </si>
  <si>
    <t>CPL</t>
  </si>
  <si>
    <t>ENP</t>
  </si>
  <si>
    <t>Q.CELLS 280P</t>
  </si>
  <si>
    <t>QC280P</t>
  </si>
  <si>
    <t>Q.CELLS 310M</t>
  </si>
  <si>
    <t>QC310M</t>
  </si>
  <si>
    <t>Q.CELLS 315M</t>
  </si>
  <si>
    <t>QC315M</t>
  </si>
  <si>
    <t>Q.CELLS 320M</t>
  </si>
  <si>
    <t>Q.PEAK DUO-G5 320</t>
  </si>
  <si>
    <t>QC320M</t>
  </si>
  <si>
    <t>Q.CELLS 325M</t>
  </si>
  <si>
    <t>Q.PEAK DUO-G5 325</t>
  </si>
  <si>
    <t>QC325M</t>
  </si>
  <si>
    <t>Q.CELLS 345M</t>
  </si>
  <si>
    <t>Q.PEAK DUO-G8 345</t>
  </si>
  <si>
    <t>Conforme norme IEC 61216</t>
  </si>
  <si>
    <t>QC345M</t>
  </si>
  <si>
    <t>Q.CELLS 345M-BLK</t>
  </si>
  <si>
    <t>Q.PEAK DUO-G8 345 BLK</t>
  </si>
  <si>
    <t>QC345MB</t>
  </si>
  <si>
    <t>Q.CELLS 350M</t>
  </si>
  <si>
    <t>Q.PEAK DUO-G8 350</t>
  </si>
  <si>
    <t>QC350M</t>
  </si>
  <si>
    <t>Q.CELLS 355M</t>
  </si>
  <si>
    <t>QC355M</t>
  </si>
  <si>
    <t>REC TWINPEAK 2 SERIES 300</t>
  </si>
  <si>
    <t>REC TP2 300</t>
  </si>
  <si>
    <t>REC</t>
  </si>
  <si>
    <t>REC300P</t>
  </si>
  <si>
    <t>REC TWINPEAK 2 SERIES 295</t>
  </si>
  <si>
    <t>REC TP2 295</t>
  </si>
  <si>
    <t>REC295P</t>
  </si>
  <si>
    <t>REC TWINPEAK 2 Mono SERIE 315</t>
  </si>
  <si>
    <t>REC TP2M 315</t>
  </si>
  <si>
    <t>REC315M</t>
  </si>
  <si>
    <t>REC TWINPEAK 2 Mono SERIE 325</t>
  </si>
  <si>
    <t>REC TP2M 325</t>
  </si>
  <si>
    <t>REC325M</t>
  </si>
  <si>
    <t>LONGI LR6-60 HPH 320M</t>
  </si>
  <si>
    <t>LONGI</t>
  </si>
  <si>
    <t>Monocristalline</t>
  </si>
  <si>
    <t>LONG320M</t>
  </si>
  <si>
    <t>DMEGC 320 M demicell</t>
  </si>
  <si>
    <t>DMH320M6-120SW</t>
  </si>
  <si>
    <t>DMEGC</t>
  </si>
  <si>
    <t>DMEGC320M</t>
  </si>
  <si>
    <t>Q.CELLS 305M</t>
  </si>
  <si>
    <t>Q.Peak G4.2 305</t>
  </si>
  <si>
    <t>QC305M</t>
  </si>
  <si>
    <t>Optima + FibroSolar</t>
  </si>
  <si>
    <t>Joris RS-R</t>
  </si>
  <si>
    <t>Pente 10°</t>
  </si>
  <si>
    <t>ItalSolar ou Joris RS-R</t>
  </si>
  <si>
    <t>Roof Solar Bitume</t>
  </si>
  <si>
    <t>Julien OLCHANOWSKA</t>
  </si>
  <si>
    <t>j.olchanowska@emeraude-solaire.com</t>
  </si>
  <si>
    <t>SUNNY BOY 6.0</t>
  </si>
  <si>
    <t>Q.PEAK DUO-G7 330</t>
  </si>
  <si>
    <t>Q.CELLS G4.1 305M</t>
  </si>
  <si>
    <t>Q.CELLS G4.4 305M</t>
  </si>
  <si>
    <t>PEIMAR 330M</t>
  </si>
  <si>
    <t>PEIMAR SM330M</t>
  </si>
  <si>
    <t>PEIMAR</t>
  </si>
  <si>
    <t>PEIM330M</t>
  </si>
  <si>
    <t>Nicolas LE MANN</t>
  </si>
  <si>
    <t>07 87 20 54 29</t>
  </si>
  <si>
    <t>n.lemann@emeraude-solaire.com</t>
  </si>
  <si>
    <t>LONGI 360M</t>
  </si>
  <si>
    <t>LONGI LR4-60 HBD 360M</t>
  </si>
  <si>
    <t>LONG360M</t>
  </si>
  <si>
    <t>Xavier BOREL</t>
  </si>
  <si>
    <t>06 11 24 11 35</t>
  </si>
  <si>
    <t>x.borel@emeraude-solaire.com</t>
  </si>
  <si>
    <t>Patrice AIRIAU</t>
  </si>
  <si>
    <t>06 45 75 60 22</t>
  </si>
  <si>
    <t>p.airiau@emeraude-solaire.com</t>
  </si>
  <si>
    <t>Joachim THORAVAL</t>
  </si>
  <si>
    <t>06 31 64 70 57</t>
  </si>
  <si>
    <t>j.thoraval@emeraude-solaire.com</t>
  </si>
  <si>
    <t>achat</t>
  </si>
  <si>
    <t>vente (+30%)</t>
  </si>
  <si>
    <t>SUN2000-100KTL-M1 (bridé 95)</t>
  </si>
  <si>
    <t>SUN2000-100KTL-M1 (bridé 99)</t>
  </si>
  <si>
    <t>Q.CELLS 360M</t>
  </si>
  <si>
    <t>Q.PEAK DUO-G8 360</t>
  </si>
  <si>
    <t>QC360M</t>
  </si>
  <si>
    <t>LONGI LR4-60 HPH-370M</t>
  </si>
  <si>
    <t>LONGI LR4-60 HPH 370M</t>
  </si>
  <si>
    <t>LONG370M</t>
  </si>
  <si>
    <t>HYDRELIO Air</t>
  </si>
  <si>
    <t>Système flottant</t>
  </si>
  <si>
    <t>SUN2000-2KTL-L1</t>
  </si>
  <si>
    <t>90V - 560V</t>
  </si>
  <si>
    <t>365 x 365 x 156 mm</t>
  </si>
  <si>
    <t>SUN2000-3.68KTL-L1</t>
  </si>
  <si>
    <t>SUN2000-4KTL-L1</t>
  </si>
  <si>
    <t>SUN2000-4.6KTL-L1</t>
  </si>
  <si>
    <t>SUN2000-5KTL-L1</t>
  </si>
  <si>
    <t>SUN2000-6KTL-L1</t>
  </si>
  <si>
    <t>SUN2000-36KTL</t>
  </si>
  <si>
    <t>930 x 550 x 238 mm</t>
  </si>
  <si>
    <t>SUN2000-30KTL-M3</t>
  </si>
  <si>
    <t>640 x 530 x 270 mm</t>
  </si>
  <si>
    <t>IP 66</t>
  </si>
  <si>
    <t>SUN2000-36KTL-M3</t>
  </si>
  <si>
    <t>SUN2000-40KTL-M3</t>
  </si>
  <si>
    <t>Webconnect / WLAN</t>
  </si>
  <si>
    <t>Sunny Boy 2.0</t>
  </si>
  <si>
    <t>210V-500V</t>
  </si>
  <si>
    <t>Conforme norme VDE 0126-1-2</t>
  </si>
  <si>
    <t>Sunny tripower 8.0</t>
  </si>
  <si>
    <t>15 kW</t>
  </si>
  <si>
    <t>2+1</t>
  </si>
  <si>
    <t>460 x 497 x 176 mm</t>
  </si>
  <si>
    <t>Sunny tripower 10.0</t>
  </si>
  <si>
    <t>3+3</t>
  </si>
  <si>
    <t>Sunny Tripower Core 2</t>
  </si>
  <si>
    <t>12x2</t>
  </si>
  <si>
    <t>1117 x 682 x 363 mm</t>
  </si>
  <si>
    <t>SE30K</t>
  </si>
  <si>
    <t>836 x 317 x 300 mm</t>
  </si>
  <si>
    <t>Sed</t>
  </si>
  <si>
    <t>SE33,3K</t>
  </si>
  <si>
    <t>SE55K</t>
  </si>
  <si>
    <t>940 x 630 x 260 mm</t>
  </si>
  <si>
    <t>SE82.8K</t>
  </si>
  <si>
    <t>940 x 945 x 260 mm</t>
  </si>
  <si>
    <t>IQ7+ -72-2-INT</t>
  </si>
  <si>
    <t>16V-60V</t>
  </si>
  <si>
    <t>212 x 175 x 30.2 mm</t>
  </si>
  <si>
    <t>Q.CELLS 300M Black</t>
  </si>
  <si>
    <t>QC300MB</t>
  </si>
  <si>
    <t>Q.CELLS 330M-BLK</t>
  </si>
  <si>
    <t>Q.PEAK DUO-G7 330 BLK</t>
  </si>
  <si>
    <t>QC330MB</t>
  </si>
  <si>
    <t>Q.CELLS 375M-BLK</t>
  </si>
  <si>
    <t>Q.PEAK DUO ML-G9 375 BLK</t>
  </si>
  <si>
    <t>QC375MB</t>
  </si>
  <si>
    <t>Q.CELLS 380M</t>
  </si>
  <si>
    <t>Q.PEAK DUO ML-G9 380</t>
  </si>
  <si>
    <t>QC380M</t>
  </si>
  <si>
    <t>Trina 365 bifacial</t>
  </si>
  <si>
    <t>DUOMAX Twin 365M</t>
  </si>
  <si>
    <t>TRINA SOLAR</t>
  </si>
  <si>
    <t>TRI365M</t>
  </si>
  <si>
    <t>DMEGC 335 M demicell</t>
  </si>
  <si>
    <t>DM335G1-60HSW</t>
  </si>
  <si>
    <t>DMEGC335M</t>
  </si>
  <si>
    <t>Maxime CHEVALIER</t>
  </si>
  <si>
    <t>06 48 37 04 19</t>
  </si>
  <si>
    <t>m.chevalier@emeraude-solaire.com</t>
  </si>
  <si>
    <t>P701</t>
  </si>
  <si>
    <t>12,5V-80V</t>
  </si>
  <si>
    <t>129 x 153 x 42,5 mm</t>
  </si>
  <si>
    <t>IP68</t>
  </si>
  <si>
    <t>P730</t>
  </si>
  <si>
    <t>12,5V-105V</t>
  </si>
  <si>
    <t>129 x 153 x 49,5 mm</t>
  </si>
  <si>
    <t>P800p</t>
  </si>
  <si>
    <t>12,5V-83V</t>
  </si>
  <si>
    <t>129 x 168 x 59 mm</t>
  </si>
  <si>
    <t>P801</t>
  </si>
  <si>
    <t>P850</t>
  </si>
  <si>
    <t>129 x 162 x 59 mm</t>
  </si>
  <si>
    <t>P950</t>
  </si>
  <si>
    <t>P1100</t>
  </si>
  <si>
    <t>Q.CELLS G4.1 305M Black</t>
  </si>
  <si>
    <t>Q.CELLS 385M</t>
  </si>
  <si>
    <t>Q.PEAK DUO ML-G9 385</t>
  </si>
  <si>
    <t>QC385M</t>
  </si>
  <si>
    <t>SUNPOWER 420</t>
  </si>
  <si>
    <t>SPR-P3-420-COM-1500</t>
  </si>
  <si>
    <t>SUNPOWER</t>
  </si>
  <si>
    <t>Monocristallines</t>
  </si>
  <si>
    <t>Cadre anodié argent classe 2</t>
  </si>
  <si>
    <t>LONGI 365M</t>
  </si>
  <si>
    <t>LONGI LR4-60 HBD 365M</t>
  </si>
  <si>
    <t>Optima onduline</t>
  </si>
  <si>
    <t>Cécile ARMANGE</t>
  </si>
  <si>
    <t>07 88 73 68 96</t>
  </si>
  <si>
    <t>c.armange@emeraude-solaire.com</t>
  </si>
  <si>
    <t>Optimiseur</t>
  </si>
  <si>
    <t>SUN2000-100KTL-M1 (bridé 90)</t>
  </si>
  <si>
    <t>Q.CELLS 350M-BLK</t>
  </si>
  <si>
    <t>Q.PEAK DUO-G8 350 BLK</t>
  </si>
  <si>
    <t>QC350MB</t>
  </si>
  <si>
    <t>DMEGC 340 M demicell</t>
  </si>
  <si>
    <t>DM340G1-60HSW</t>
  </si>
  <si>
    <t>DMEGC340M</t>
  </si>
  <si>
    <t>DMEGC 370 M demicell</t>
  </si>
  <si>
    <t>DM370M6-60HSW</t>
  </si>
  <si>
    <t>DMEGC370M</t>
  </si>
  <si>
    <t>Q.PLUS-G4.3 280</t>
  </si>
  <si>
    <t>QCP280</t>
  </si>
  <si>
    <t>N° Chantier - Version</t>
  </si>
  <si>
    <t>Comunication de données</t>
  </si>
  <si>
    <t>Normes</t>
  </si>
  <si>
    <t>SI</t>
  </si>
  <si>
    <t>Fabricant</t>
  </si>
  <si>
    <t>Orientation
modules</t>
  </si>
  <si>
    <t>Divers</t>
  </si>
  <si>
    <t>Garanties-Certifications</t>
  </si>
  <si>
    <t>Optima ®</t>
  </si>
  <si>
    <t>ADIWATT</t>
  </si>
  <si>
    <t>Inclinaison de 0° à 45° - Acier Magnelis ® ou Z600</t>
  </si>
  <si>
    <t>Garantie 10 ans - ETN</t>
  </si>
  <si>
    <t>SOPLAPRO</t>
  </si>
  <si>
    <t>Garantie  10 ans - Atec (modules VOLTEC)</t>
  </si>
  <si>
    <t>In-Roof System</t>
  </si>
  <si>
    <t>GSE Integration</t>
  </si>
  <si>
    <t>Portrait/Paysage</t>
  </si>
  <si>
    <t>Inclinaison de 12° à 50°</t>
  </si>
  <si>
    <t>Garantie 10 ans - ATec/ETN</t>
  </si>
  <si>
    <t>DOME SOLAR</t>
  </si>
  <si>
    <t>Pente &gt; 5° - Fixation dans la panne</t>
  </si>
  <si>
    <t>SolidRail</t>
  </si>
  <si>
    <t>K2 Systems</t>
  </si>
  <si>
    <t>SolidRail (Black)</t>
  </si>
  <si>
    <t>DOMESOLAR + K2 Systems</t>
  </si>
  <si>
    <t>ADIWATT + DOME SOLAR</t>
  </si>
  <si>
    <t>Soprasolar Fix EVO</t>
  </si>
  <si>
    <t>SOPREMA</t>
  </si>
  <si>
    <t>Thermosoudé / Parallèle au plan de toiture</t>
  </si>
  <si>
    <t>Soprasolar Fix EVO Tilt</t>
  </si>
  <si>
    <t>Thermosoudé / Inclinée de 10° / plan de toiture</t>
  </si>
  <si>
    <t>JORIS IDE</t>
  </si>
  <si>
    <t>Profil Evolution (Ombrière)</t>
  </si>
  <si>
    <t>Ombrière</t>
  </si>
  <si>
    <t>DOME Solar ou JORIS IDE</t>
  </si>
  <si>
    <t>Inova PV Lite</t>
  </si>
  <si>
    <t>EPC Solaire</t>
  </si>
  <si>
    <t>Inova PV Lite Tilt</t>
  </si>
  <si>
    <t>AKUO Industries</t>
  </si>
  <si>
    <t>Table Xground</t>
  </si>
  <si>
    <t>Installation au sol</t>
  </si>
  <si>
    <t>Inclinaison 15° ou 20°
Fixation par micropieux tubulaires (ou longrines béton)</t>
  </si>
  <si>
    <t>Système de fixation</t>
  </si>
  <si>
    <t>SUN2000-60KTL-M0 (bridé 50)</t>
  </si>
  <si>
    <t>SUN2000-100KTL-M1 (bridé 94)</t>
  </si>
  <si>
    <t>Q.CELLS 320M-BLK</t>
  </si>
  <si>
    <t>Q.PEAK DUO-G5 320 BLK</t>
  </si>
  <si>
    <t>QC320MB</t>
  </si>
  <si>
    <t>Q.CELLS 375M</t>
  </si>
  <si>
    <t>Q.PEAK DUO ML-G9 375</t>
  </si>
  <si>
    <t>QC375M</t>
  </si>
  <si>
    <t>Q.PLUS-G4.3 285</t>
  </si>
  <si>
    <t>QCP285</t>
  </si>
  <si>
    <t>Optima + In-Roof System</t>
  </si>
  <si>
    <t>ADIWATT + GSE Integration</t>
  </si>
  <si>
    <t>Surimposition + Intégration</t>
  </si>
  <si>
    <t>(Azimuth ---°)</t>
  </si>
  <si>
    <t>Date du document</t>
  </si>
  <si>
    <r>
      <t>kWh/kW</t>
    </r>
    <r>
      <rPr>
        <vertAlign val="subscript"/>
        <sz val="10"/>
        <rFont val="Arial"/>
        <family val="2"/>
      </rPr>
      <t>C</t>
    </r>
  </si>
  <si>
    <t>Rendement scpécifique</t>
  </si>
  <si>
    <t>Puissance PV installée</t>
  </si>
  <si>
    <r>
      <t>kW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 xml:space="preserve">  </t>
    </r>
  </si>
  <si>
    <t>Nom-Prénom ou Société</t>
  </si>
  <si>
    <t>Adresse de facturation</t>
  </si>
  <si>
    <t>CP Ville</t>
  </si>
  <si>
    <t>E-mail</t>
  </si>
  <si>
    <t>Site de production</t>
  </si>
  <si>
    <t>SIRET</t>
  </si>
  <si>
    <t>Adresse du Site de PROD</t>
  </si>
  <si>
    <t xml:space="preserve">Technico-commercial : </t>
  </si>
  <si>
    <t>Modules PV</t>
  </si>
  <si>
    <t>Puissance PV (STC)</t>
  </si>
  <si>
    <t>Surface du module</t>
  </si>
  <si>
    <r>
      <t>W</t>
    </r>
    <r>
      <rPr>
        <vertAlign val="subscript"/>
        <sz val="10"/>
        <rFont val="Arial"/>
        <family val="2"/>
      </rPr>
      <t>C</t>
    </r>
  </si>
  <si>
    <t>Raccordement souhaité</t>
  </si>
  <si>
    <r>
      <t>S</t>
    </r>
    <r>
      <rPr>
        <vertAlign val="subscript"/>
        <sz val="10"/>
        <rFont val="Arial"/>
        <family val="2"/>
      </rPr>
      <t>MAX</t>
    </r>
    <r>
      <rPr>
        <sz val="10"/>
        <rFont val="Arial"/>
        <family val="2"/>
      </rPr>
      <t xml:space="preserve"> (kVA)</t>
    </r>
  </si>
  <si>
    <r>
      <t>I</t>
    </r>
    <r>
      <rPr>
        <vertAlign val="subscript"/>
        <sz val="10"/>
        <rFont val="Arial"/>
        <family val="2"/>
      </rPr>
      <t>MAX</t>
    </r>
  </si>
  <si>
    <t>Surface de modules (m²)</t>
  </si>
  <si>
    <t>Inclinaison toiture</t>
  </si>
  <si>
    <t>Orientation toiture</t>
  </si>
  <si>
    <r>
      <t>Prix de vente (€</t>
    </r>
    <r>
      <rPr>
        <vertAlign val="subscript"/>
        <sz val="10"/>
        <rFont val="Arial"/>
        <family val="2"/>
      </rPr>
      <t>HT</t>
    </r>
    <r>
      <rPr>
        <sz val="10"/>
        <rFont val="Arial"/>
        <family val="2"/>
      </rPr>
      <t>/W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)</t>
    </r>
  </si>
  <si>
    <t>Conditions de paiement</t>
  </si>
  <si>
    <t>Garantie 25 ans</t>
  </si>
  <si>
    <t>Modules PV (type 2)</t>
  </si>
  <si>
    <t>Onduleur(s) PV (type 3)</t>
  </si>
  <si>
    <t>Onduleur(s) PV (type 2)</t>
  </si>
  <si>
    <t>Onduleur(s) PV</t>
  </si>
  <si>
    <t>PRO</t>
  </si>
  <si>
    <t>PART</t>
  </si>
  <si>
    <t>Répartition de la puissance par phase</t>
  </si>
  <si>
    <t>Spec :</t>
  </si>
  <si>
    <t>Surcout RACC si + de 3 câbles</t>
  </si>
  <si>
    <t>Supplément</t>
  </si>
  <si>
    <t>XXXX-V1</t>
  </si>
  <si>
    <t>Garantie 12 ans</t>
  </si>
  <si>
    <t xml:space="preserve">Garantie Onduleur(s) : </t>
  </si>
  <si>
    <t xml:space="preserve">Garantie Optimiseur(s) : </t>
  </si>
  <si>
    <t>C:\Document\Devis XLS\</t>
  </si>
  <si>
    <t>SUN2000-20KTL-M2</t>
  </si>
  <si>
    <t>SUN2000-60KTL-M0 (bridé 55)</t>
  </si>
  <si>
    <t>Sunny Tripower Core 2 (bridé 100)</t>
  </si>
  <si>
    <t>SE5H</t>
  </si>
  <si>
    <t>380V</t>
  </si>
  <si>
    <t>280 x 370 x 142 mm</t>
  </si>
  <si>
    <t>SE6H</t>
  </si>
  <si>
    <t>SE8H</t>
  </si>
  <si>
    <t>400V</t>
  </si>
  <si>
    <t>360 x 370 x 185 mm</t>
  </si>
  <si>
    <t>SE10H</t>
  </si>
  <si>
    <t>SE50K</t>
  </si>
  <si>
    <t>918 x 656 x 295 mm</t>
  </si>
  <si>
    <t>SE66.6K</t>
  </si>
  <si>
    <t>SE90K</t>
  </si>
  <si>
    <t>918 x 984 x 295 mm</t>
  </si>
  <si>
    <t>SE100K</t>
  </si>
  <si>
    <t>P485</t>
  </si>
  <si>
    <t>129 x 90 x 49,5 mm</t>
  </si>
  <si>
    <t>Q.PLUS-BFR-G4 280</t>
  </si>
  <si>
    <t>Q.PLUS-BFR-G4 285</t>
  </si>
  <si>
    <t>Q.PLUS BFR-G4 290</t>
  </si>
  <si>
    <t>Q.CELLS 295M Black</t>
  </si>
  <si>
    <t>Q.PEAK-G4 295 BLK</t>
  </si>
  <si>
    <t>Q.PEAK-G4 - 300Wc</t>
  </si>
  <si>
    <t>Q.PEAK-BLK-G4</t>
  </si>
  <si>
    <t>Q.Peak G4 305</t>
  </si>
  <si>
    <t>Q.Peak G4 305 BLK</t>
  </si>
  <si>
    <t>Q.CELLS G5 305M BLK</t>
  </si>
  <si>
    <t>Q.Peak G5 305M BLK</t>
  </si>
  <si>
    <t>Q.PEAK-G4.F 310</t>
  </si>
  <si>
    <t>Q.PEAK-G4 315</t>
  </si>
  <si>
    <t>Q.CELLS 325M-BLK</t>
  </si>
  <si>
    <t>Q.PEAK DUO-G5 325 BLK</t>
  </si>
  <si>
    <t>QC325MB</t>
  </si>
  <si>
    <t>Q.PEAK DUO-G6 355</t>
  </si>
  <si>
    <t>Q.CELLS 385M-BLK</t>
  </si>
  <si>
    <t>Q.PEAK DUO ML-G9 385 BLK</t>
  </si>
  <si>
    <t>QC385MB</t>
  </si>
  <si>
    <t>Q.CELLS 390M</t>
  </si>
  <si>
    <t>Q.PEAK DUO ML-G9 390</t>
  </si>
  <si>
    <t>QC390M</t>
  </si>
  <si>
    <t>LONG365M</t>
  </si>
  <si>
    <t>LONGI LR4-60 HIH-370M</t>
  </si>
  <si>
    <t>LONGI LR4-60 HIH 370M</t>
  </si>
  <si>
    <t>LONGI LR4-60 HPH-375M</t>
  </si>
  <si>
    <t>LONGI LR4-60 HPH 375M</t>
  </si>
  <si>
    <t>LONG375M</t>
  </si>
  <si>
    <t>LONGI LR4-60 HIH-375M</t>
  </si>
  <si>
    <t>LONGI LR4-60 HIH 375M</t>
  </si>
  <si>
    <t>LONGI LR4-60 HPH-380M</t>
  </si>
  <si>
    <t>LONGI LR4-60 HPH 380M</t>
  </si>
  <si>
    <t>LONG380M</t>
  </si>
  <si>
    <t>PEIMAR 350M</t>
  </si>
  <si>
    <t>PEIMAR SF350M</t>
  </si>
  <si>
    <t>PEIM350M</t>
  </si>
  <si>
    <t>SUNP420</t>
  </si>
  <si>
    <t>DMEGC 385 M demicell</t>
  </si>
  <si>
    <t>DM385M6-60HSW</t>
  </si>
  <si>
    <t>DMEGC385M</t>
  </si>
  <si>
    <t>Hélios B²</t>
  </si>
  <si>
    <t>□</t>
  </si>
  <si>
    <t>SUN2000-30KTL-M3 (Bridé 27)</t>
  </si>
  <si>
    <t>SUN2000-60KTL-M0 (bridé 56)</t>
  </si>
  <si>
    <t>LUNA2000-5-S0</t>
  </si>
  <si>
    <t>600 – 980 V</t>
  </si>
  <si>
    <t>670 x 150 x 600 mm</t>
  </si>
  <si>
    <t xml:space="preserve">RS485 / CAN </t>
  </si>
  <si>
    <t>LUNA2000-10-S0</t>
  </si>
  <si>
    <t>670 x 150 x 960 mm</t>
  </si>
  <si>
    <t>RS485 / CAN</t>
  </si>
  <si>
    <t>LUNA2000-15-S0</t>
  </si>
  <si>
    <t>670 x 150 x 1320 mm</t>
  </si>
  <si>
    <t>Q.CELLS 345M G9</t>
  </si>
  <si>
    <t>Q.PEAK DUO-G9 345</t>
  </si>
  <si>
    <t>Q.CELLS G11 390M</t>
  </si>
  <si>
    <t>Q.PEAK DUO M-G11 390</t>
  </si>
  <si>
    <t>Q.CELLS G11 395M</t>
  </si>
  <si>
    <t>Q.PEAK DUO M-G11 395</t>
  </si>
  <si>
    <t>QC395M</t>
  </si>
  <si>
    <t>Q.CELLS G11 400M</t>
  </si>
  <si>
    <t>Q.PEAK DUO M-G11 400</t>
  </si>
  <si>
    <t>QC400M</t>
  </si>
  <si>
    <t>Q.CELLS G11 405M</t>
  </si>
  <si>
    <t>Q.PEAK DUO M-G11 405</t>
  </si>
  <si>
    <t>QC405M</t>
  </si>
  <si>
    <t>Q.CELLS G11 410M</t>
  </si>
  <si>
    <t>Q.PEAK DUO M-G11 410</t>
  </si>
  <si>
    <t>QC410M</t>
  </si>
  <si>
    <t>LONGI LR5-54 HIH-395M</t>
  </si>
  <si>
    <t>LONG395M</t>
  </si>
  <si>
    <t>LONGI LR5-54 HIH-400M</t>
  </si>
  <si>
    <t>LONG400M</t>
  </si>
  <si>
    <t>LONGI LR5-54 HIH-405M</t>
  </si>
  <si>
    <t>LONG405M</t>
  </si>
  <si>
    <t>LONGI LR5-54 HIH-410M</t>
  </si>
  <si>
    <t>LONG410M</t>
  </si>
  <si>
    <t>LONGI LR5-54 HIH-415M</t>
  </si>
  <si>
    <t>LONG415M</t>
  </si>
  <si>
    <t>SYSTOVI V-SYS PRO 330</t>
  </si>
  <si>
    <t>PS75330N17 330 Wc</t>
  </si>
  <si>
    <t>SYSTOVI</t>
  </si>
  <si>
    <t>V-SYS PRO330</t>
  </si>
  <si>
    <t>VOLTEC SOLAR Tarka 126 VSMD 390Wc</t>
  </si>
  <si>
    <t>Tarka 126 VSMD 390Wc</t>
  </si>
  <si>
    <t>VOLTEC</t>
  </si>
  <si>
    <t>126VSMD390</t>
  </si>
  <si>
    <t>SUNPOWER 410</t>
  </si>
  <si>
    <t>SPR-P3-410-COM-1500</t>
  </si>
  <si>
    <t>SUNP410</t>
  </si>
  <si>
    <t>DMEGC 375 M demicell</t>
  </si>
  <si>
    <t>DM375M6-60HSW</t>
  </si>
  <si>
    <t>DMEGC375M</t>
  </si>
  <si>
    <t>DMEGC 375M demicell</t>
  </si>
  <si>
    <t>DM375M6-60HBW</t>
  </si>
  <si>
    <t>Hélios RC3</t>
  </si>
  <si>
    <t>Charpente métallique ou bois</t>
  </si>
  <si>
    <t>Fiche de contrôle Electriciens</t>
  </si>
  <si>
    <t>Chantier Terminé :</t>
  </si>
  <si>
    <t>□ OUI</t>
  </si>
  <si>
    <t>□ NON</t>
  </si>
  <si>
    <t xml:space="preserve">NSX Raccordé : </t>
  </si>
  <si>
    <t xml:space="preserve">/ </t>
  </si>
  <si>
    <t>Com Onduleur - Terminée</t>
  </si>
  <si>
    <t>Vérification DC :</t>
  </si>
  <si>
    <t>Vérification armoires électriques AC :</t>
  </si>
  <si>
    <t>Vérification documents :</t>
  </si>
  <si>
    <t>Vérification repérage :</t>
  </si>
  <si>
    <t>Vérification communication :</t>
  </si>
  <si>
    <t>- Aucune tensions DC entre (+) et (-) et la Terre</t>
  </si>
  <si>
    <t>- Distance entre les onduleurs</t>
  </si>
  <si>
    <t>- Vérification des serrages au bon couple (cosses et bornes)</t>
  </si>
  <si>
    <t>- Câble de soutirage (si modification)</t>
  </si>
  <si>
    <t>- Présence de tous les repérages sur STRINGS</t>
  </si>
  <si>
    <t>- Repérages des câbles AC</t>
  </si>
  <si>
    <t>- Etiquettage PV</t>
  </si>
  <si>
    <t>- Identification coupure d'urgence</t>
  </si>
  <si>
    <t>- Test alimentation matériel communication</t>
  </si>
  <si>
    <t>OK</t>
  </si>
  <si>
    <t>/</t>
  </si>
  <si>
    <t>NOK</t>
  </si>
  <si>
    <t>Remarques</t>
  </si>
  <si>
    <t>cm</t>
  </si>
  <si>
    <t>Ω</t>
  </si>
  <si>
    <t>Section :</t>
  </si>
  <si>
    <t>Longueur :</t>
  </si>
  <si>
    <t>Vdc</t>
  </si>
  <si>
    <t>ELEC</t>
  </si>
  <si>
    <t>MES</t>
  </si>
  <si>
    <t>Remarques :</t>
  </si>
  <si>
    <t>Nom du Dossier</t>
  </si>
  <si>
    <t>Semaine de Pose</t>
  </si>
  <si>
    <t>Vente totale</t>
  </si>
  <si>
    <t>Vente de surplus</t>
  </si>
  <si>
    <t>Option Shelter (oui/non) :</t>
  </si>
  <si>
    <t>VALIDE</t>
  </si>
  <si>
    <t>POCHETTE ELECTRICIENS</t>
  </si>
  <si>
    <t>Etiquette Onduleur 1 :</t>
  </si>
  <si>
    <t>Etiquette Onduleur 2 :</t>
  </si>
  <si>
    <t>Etiquette Onduleur 3 :</t>
  </si>
  <si>
    <t>Etiquette Onduleur 4 :</t>
  </si>
  <si>
    <t>Etiquette Matériel communication :</t>
  </si>
  <si>
    <t>POCHETTE POSEURS</t>
  </si>
  <si>
    <t>Fiche de contrôle Poseurs</t>
  </si>
  <si>
    <t>Pose Bac Acier :</t>
  </si>
  <si>
    <t>Contrôles</t>
  </si>
  <si>
    <t>Conforme</t>
  </si>
  <si>
    <t>Sens de recouvrement  des tôles selon le vent dominant (Voir fiche de tâche)</t>
  </si>
  <si>
    <t>Vérification du démoussage du feutre sur 20cm à la gouttière en fonction du sens de pose</t>
  </si>
  <si>
    <r>
      <t xml:space="preserve">Vérification </t>
    </r>
    <r>
      <rPr>
        <b/>
        <sz val="12"/>
        <rFont val="Calibri"/>
        <family val="2"/>
        <scheme val="minor"/>
      </rPr>
      <t>recouvrement transversal</t>
    </r>
    <r>
      <rPr>
        <sz val="12"/>
        <rFont val="Calibri"/>
        <family val="2"/>
        <scheme val="minor"/>
      </rPr>
      <t xml:space="preserve"> (Voir Fiche de tâche)</t>
    </r>
  </si>
  <si>
    <r>
      <t xml:space="preserve">Vérification </t>
    </r>
    <r>
      <rPr>
        <b/>
        <sz val="12"/>
        <rFont val="Calibri"/>
        <family val="2"/>
        <scheme val="minor"/>
      </rPr>
      <t>recouvrement longitudinal</t>
    </r>
    <r>
      <rPr>
        <sz val="12"/>
        <rFont val="Calibri"/>
        <family val="2"/>
        <scheme val="minor"/>
      </rPr>
      <t xml:space="preserve"> (Voir Fiche de tâche)</t>
    </r>
  </si>
  <si>
    <t>Vérification du type de fixation utilisée en fonction du type de support (Bois, Acier, etc…)</t>
  </si>
  <si>
    <t>Nb de tirefond en rive : 1 tirefond toutes les les ondes sur une largeur de 1m</t>
  </si>
  <si>
    <t>Nb de tirefond au faitage et à l'égout : 1 tirefond toutes les ondes sur les deux premières pannes</t>
  </si>
  <si>
    <t>Nb de vis de couture aux recouvrements longitudinal et transversal : 1 vis toutes les ondes</t>
  </si>
  <si>
    <t>Pose du Kit d'Intégration et des Panneaux :</t>
  </si>
  <si>
    <t>Pose du kit conformément à la notice constructeur (K2, Dome, Adiwatt, etc…)</t>
  </si>
  <si>
    <t>Vérification de la pose et du bon nombre de panneaux par string selon le plan de calepinage</t>
  </si>
  <si>
    <t>Nettoyage et démontage des éléments de sécurité</t>
  </si>
  <si>
    <t>Remarques et actions correctives :</t>
  </si>
  <si>
    <t>Mesure tension</t>
  </si>
  <si>
    <t>String</t>
  </si>
  <si>
    <t>□ O</t>
  </si>
  <si>
    <t>□ N</t>
  </si>
  <si>
    <r>
      <rPr>
        <b/>
        <u/>
        <sz val="12"/>
        <rFont val="Calibri"/>
        <family val="2"/>
        <scheme val="minor"/>
      </rPr>
      <t>Contrôle des panneaux :</t>
    </r>
    <r>
      <rPr>
        <b/>
        <sz val="12"/>
        <rFont val="Calibri"/>
        <family val="2"/>
        <scheme val="minor"/>
      </rPr>
      <t xml:space="preserve"> </t>
    </r>
    <r>
      <rPr>
        <sz val="12"/>
        <rFont val="Calibri"/>
        <family val="2"/>
        <scheme val="minor"/>
      </rPr>
      <t>Contrôle Journalier</t>
    </r>
    <r>
      <rPr>
        <b/>
        <sz val="12"/>
        <rFont val="Calibri"/>
        <family val="2"/>
        <scheme val="minor"/>
      </rPr>
      <t xml:space="preserve"> - </t>
    </r>
    <r>
      <rPr>
        <b/>
        <i/>
        <sz val="10"/>
        <color rgb="FFFF0000"/>
        <rFont val="Calibri"/>
        <family val="2"/>
        <scheme val="minor"/>
      </rPr>
      <t>Selon Guide des bonnes pratiques EMS</t>
    </r>
  </si>
  <si>
    <t>STRINGS</t>
  </si>
  <si>
    <t>Conformité</t>
  </si>
  <si>
    <t>□N</t>
  </si>
  <si>
    <t xml:space="preserve">□O </t>
  </si>
  <si>
    <t>Pose des strings dans les régles de l'art (éviter boucle d'induction / vérifier que les connecteurs ne touche pas le bac)</t>
  </si>
  <si>
    <t>Ramener les bons de livraisons avec les numeros de série des panneaux</t>
  </si>
  <si>
    <t>Fiche de fin de chantier</t>
  </si>
  <si>
    <t>Schémas unifilaire</t>
  </si>
  <si>
    <t>Carnet de plan</t>
  </si>
  <si>
    <t>Nomenclature</t>
  </si>
  <si>
    <t>Pochette Electriciens</t>
  </si>
  <si>
    <t>Autoconsommation</t>
  </si>
  <si>
    <t>Numéro du chantier</t>
  </si>
  <si>
    <t>Nom du client</t>
  </si>
  <si>
    <t>Numéro de téléphone</t>
  </si>
  <si>
    <t>Adresse du projet</t>
  </si>
  <si>
    <t>Commercial</t>
  </si>
  <si>
    <t>Chargé d'études</t>
  </si>
  <si>
    <t>Conducteur de travaux</t>
  </si>
  <si>
    <t>Pochette Poseurs</t>
  </si>
  <si>
    <t>Configuration du chantier</t>
  </si>
  <si>
    <t>Puissance installation</t>
  </si>
  <si>
    <t>Panneaux</t>
  </si>
  <si>
    <t>Onduleur</t>
  </si>
  <si>
    <t>Système d'Intégration</t>
  </si>
  <si>
    <t>- Identification des appareillages</t>
  </si>
  <si>
    <t>Plan de prévention / PPSPS</t>
  </si>
  <si>
    <t>Photos visites chantiers</t>
  </si>
  <si>
    <t>Nom du chef d'équipe :</t>
  </si>
  <si>
    <t>Date intervention :</t>
  </si>
  <si>
    <t>Envoyer des photos de l'installation une fois posée ainsi qu'une etiquette d'un panneau</t>
  </si>
  <si>
    <t>- Mesure de terre si plusieurs locaux/shelter</t>
  </si>
  <si>
    <t>Onduleur(s)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</si>
  <si>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</si>
  <si>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</si>
  <si>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</si>
  <si>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</si>
  <si>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</si>
  <si>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</si>
  <si>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</si>
  <si>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</si>
  <si>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</si>
  <si>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</si>
  <si>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N°11</t>
  </si>
  <si>
    <t>N°12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</si>
  <si>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</si>
  <si>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</si>
  <si>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</si>
  <si>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</si>
  <si>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</si>
  <si>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</si>
  <si>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</si>
  <si>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</si>
  <si>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t>N°21</t>
  </si>
  <si>
    <t>N°22</t>
  </si>
  <si>
    <t>N°23</t>
  </si>
  <si>
    <t>N°24</t>
  </si>
  <si>
    <t>N°25</t>
  </si>
  <si>
    <t>N°26</t>
  </si>
  <si>
    <t>N°27</t>
  </si>
  <si>
    <t>N°28</t>
  </si>
  <si>
    <t>N°29</t>
  </si>
  <si>
    <t>N°30</t>
  </si>
  <si>
    <t>N°31</t>
  </si>
  <si>
    <t>N°32</t>
  </si>
  <si>
    <t>N°33</t>
  </si>
  <si>
    <t>N°34</t>
  </si>
  <si>
    <t>N°35</t>
  </si>
  <si>
    <t>N°36</t>
  </si>
  <si>
    <t>N°37</t>
  </si>
  <si>
    <t>N°38</t>
  </si>
  <si>
    <t>N°39</t>
  </si>
  <si>
    <t>N°40</t>
  </si>
  <si>
    <t>N°41</t>
  </si>
  <si>
    <t>N°42</t>
  </si>
  <si>
    <t>N°43</t>
  </si>
  <si>
    <t>N°44</t>
  </si>
  <si>
    <t>N°45</t>
  </si>
  <si>
    <t>N°46</t>
  </si>
  <si>
    <t>N°47</t>
  </si>
  <si>
    <t>N°48</t>
  </si>
  <si>
    <t>N°49</t>
  </si>
  <si>
    <t>N°50</t>
  </si>
  <si>
    <t>N°51</t>
  </si>
  <si>
    <t>N°52</t>
  </si>
  <si>
    <t>N°53</t>
  </si>
  <si>
    <t>N°54</t>
  </si>
  <si>
    <t>N°55</t>
  </si>
  <si>
    <t>N°56</t>
  </si>
  <si>
    <t>N°57</t>
  </si>
  <si>
    <t>N°58</t>
  </si>
  <si>
    <t>N°59</t>
  </si>
  <si>
    <t>N°60</t>
  </si>
  <si>
    <t>N°61</t>
  </si>
  <si>
    <t>N°62</t>
  </si>
  <si>
    <t>N°63</t>
  </si>
  <si>
    <t>N°64</t>
  </si>
  <si>
    <t>N°65</t>
  </si>
  <si>
    <t>N°66</t>
  </si>
  <si>
    <t>N°67</t>
  </si>
  <si>
    <t>N°68</t>
  </si>
  <si>
    <t>N°69</t>
  </si>
  <si>
    <t>N°70</t>
  </si>
  <si>
    <t>Pv</t>
  </si>
  <si>
    <t>Mesure des tensions des chaînes DC</t>
  </si>
  <si>
    <t>T.TOUTAIN</t>
  </si>
  <si>
    <t>F.DUBOIS</t>
  </si>
  <si>
    <t>J.BEDOUX</t>
  </si>
  <si>
    <t>COM</t>
  </si>
  <si>
    <t>CE</t>
  </si>
  <si>
    <t>CONDUC</t>
  </si>
  <si>
    <t>S.GORON</t>
  </si>
  <si>
    <t>J.OLCHANOWSKA</t>
  </si>
  <si>
    <t>O.DARDIER</t>
  </si>
  <si>
    <t>E.CARLO</t>
  </si>
  <si>
    <t>K.COURTIN</t>
  </si>
  <si>
    <t>J.LORANT</t>
  </si>
  <si>
    <t>Y.JOETZJER</t>
  </si>
  <si>
    <t>S.NEAUD</t>
  </si>
  <si>
    <t>S.HARDY</t>
  </si>
  <si>
    <t>Procés verbal de réception de travaux</t>
  </si>
  <si>
    <t>J.M.POUTEAU</t>
  </si>
  <si>
    <t>R.POREE</t>
  </si>
  <si>
    <t>TENSION</t>
  </si>
  <si>
    <t>NB : Attention ! Bien vérifier l'absence de défauts d'isolement sur les chaînes PV (RIZO)
Et la polarité des chaînes au multimètre (pas de signe (-) sur les mesures)</t>
  </si>
  <si>
    <t>C.CUZEL</t>
  </si>
  <si>
    <t>Entre + / Terre</t>
  </si>
  <si>
    <t>Entre - / Terre</t>
  </si>
  <si>
    <t>Absence Tension RISO</t>
  </si>
  <si>
    <t>Nb PANNEAUX</t>
  </si>
  <si>
    <r>
      <t xml:space="preserve">- Mesure de terre pour les projets inférieurs à 150kWc </t>
    </r>
    <r>
      <rPr>
        <b/>
        <sz val="11"/>
        <rFont val="Calibri"/>
        <family val="2"/>
        <scheme val="minor"/>
      </rPr>
      <t>(</t>
    </r>
    <r>
      <rPr>
        <b/>
        <sz val="11"/>
        <color rgb="FFFF0000"/>
        <rFont val="Calibri"/>
        <family val="2"/>
        <scheme val="minor"/>
      </rPr>
      <t>Mesure &lt; 50 Ohms</t>
    </r>
    <r>
      <rPr>
        <b/>
        <sz val="11"/>
        <rFont val="Calibri"/>
        <family val="2"/>
        <scheme val="minor"/>
      </rPr>
      <t>)</t>
    </r>
  </si>
  <si>
    <r>
      <t xml:space="preserve">- Mesure de terre pour les projets supérieurs à 150kWc </t>
    </r>
    <r>
      <rPr>
        <b/>
        <sz val="11"/>
        <rFont val="Calibri"/>
        <family val="2"/>
        <scheme val="minor"/>
      </rPr>
      <t>(</t>
    </r>
    <r>
      <rPr>
        <b/>
        <sz val="11"/>
        <color rgb="FFFF0000"/>
        <rFont val="Calibri"/>
        <family val="2"/>
        <scheme val="minor"/>
      </rPr>
      <t>Mesure &lt; 20 Ohms</t>
    </r>
    <r>
      <rPr>
        <b/>
        <sz val="11"/>
        <rFont val="Calibri"/>
        <family val="2"/>
        <scheme val="minor"/>
      </rPr>
      <t>)</t>
    </r>
  </si>
  <si>
    <t>Fiche de fin de chantier &amp; PV réception de travaux</t>
  </si>
  <si>
    <t>- Serra PE et Obturation des PE non utilisés</t>
  </si>
  <si>
    <t>- Liaison Equipotentielle avec toiture et bâtiment réalisée</t>
  </si>
  <si>
    <t>- Mise à la terre de la structure onduleurs</t>
  </si>
  <si>
    <t>- Vérification câblages et serrages matériel communication</t>
  </si>
  <si>
    <t>Photos</t>
  </si>
  <si>
    <t>- Prendre photos locaux onduleurs, intérieurs coffrets et cheminements de câbles DC/AC + Envoi conducteur de travaux</t>
  </si>
  <si>
    <t>- Présence Schéma électrique et Calepinage plastifié dans coffret</t>
  </si>
  <si>
    <t>- Contrôle compatibilité connecteurs DC (MC4 F -&gt; MC4 M etc..) et serrages</t>
  </si>
  <si>
    <t>F.HALNA</t>
  </si>
  <si>
    <t>S.JARNO</t>
  </si>
  <si>
    <t>V.MICHEL</t>
  </si>
  <si>
    <t>M.LANCELOT</t>
  </si>
  <si>
    <t>J.THORAVAL</t>
  </si>
  <si>
    <t>A.RIETTE</t>
  </si>
  <si>
    <t>A.MAHE</t>
  </si>
  <si>
    <t>C.ARMANGE</t>
  </si>
  <si>
    <t>V.AUSSANT</t>
  </si>
  <si>
    <t>M. ROUAULT</t>
  </si>
  <si>
    <t>N.LE MANN</t>
  </si>
  <si>
    <t>SAV</t>
  </si>
  <si>
    <t>A. LE GOFF</t>
  </si>
  <si>
    <t>Vérification du bon serrage des modules PV</t>
  </si>
  <si>
    <t>Date : 04/12/2024
Rév : J</t>
  </si>
  <si>
    <t>Y.LEGRAND</t>
  </si>
  <si>
    <t>A. MAHE</t>
  </si>
  <si>
    <t>V.AUFRAY</t>
  </si>
  <si>
    <t>J.HARSIGNY</t>
  </si>
  <si>
    <t>S. ALVES</t>
  </si>
  <si>
    <t>X</t>
  </si>
  <si>
    <t>non</t>
  </si>
  <si>
    <t>S03</t>
  </si>
  <si>
    <t>SARL LNJ</t>
  </si>
  <si>
    <t>LANGUZ - 29600 PLOURIN-LES-MORLAIX</t>
  </si>
  <si>
    <t>Mme. MANCHEC CATHERINE</t>
  </si>
  <si>
    <t>06 19 34 44 17</t>
  </si>
  <si>
    <t>2 x SUN2000-115kTL-M2</t>
  </si>
  <si>
    <t>532 x LONGI 485M</t>
  </si>
  <si>
    <t>ITAL x FIBRO SOLAR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</si>
</sst>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164" formatCode="#,##0.00\ &quot;€&quot;"/>
    <numFmt numFmtId="165" formatCode="0.000"/>
    <numFmt numFmtId="166" formatCode="#,##0.00&quot; kVA&quot;"/>
    <numFmt numFmtId="167" formatCode="#,##0.000"/>
    <numFmt numFmtId="168" formatCode="#,##0.0&quot; kVA&quot;"/>
    <numFmt numFmtId="169" formatCode="0.00&quot; €/Wc&quot;"/>
    <numFmt numFmtId="170" formatCode="#,##0.000&quot; kWc&quot;"/>
  </numFmts>
  <fonts count="5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b/>
      <i/>
      <sz val="12"/>
      <color rgb="FFFF0000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10"/>
      <name val="Arial"/>
      <family val="2"/>
    </font>
    <font>
      <b/>
      <sz val="8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vertAlign val="subscript"/>
      <sz val="10"/>
      <name val="Arial"/>
      <family val="2"/>
    </font>
    <font>
      <b/>
      <u/>
      <sz val="10"/>
      <color indexed="12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rgb="FF00B59C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name val="Calibri"/>
      <family val="2"/>
    </font>
    <font>
      <sz val="16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4"/>
      <name val="Calibri"/>
      <family val="2"/>
      <scheme val="minor"/>
    </font>
    <font>
      <b/>
      <u/>
      <sz val="18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24"/>
      <name val="Calibri"/>
      <family val="2"/>
      <scheme val="minor"/>
    </font>
    <font>
      <b/>
      <sz val="36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8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7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/>
  </cellStyleXfs>
  <cellXfs count="739">
    <xf numFmtId="0" fontId="0" fillId="0" borderId="0" xfId="0"/>
    <xf numFmtId="0" fontId="8" fillId="0" borderId="47" xfId="4" applyBorder="1"/>
    <xf numFmtId="0" fontId="11" fillId="0" borderId="47" xfId="0" applyFont="1" applyBorder="1" applyAlignment="1">
      <alignment horizontal="center"/>
    </xf>
    <xf numFmtId="0" fontId="8" fillId="0" borderId="47" xfId="0" applyFont="1" applyBorder="1"/>
    <xf numFmtId="0" fontId="22" fillId="0" borderId="47" xfId="0" applyFont="1" applyBorder="1" applyAlignment="1">
      <alignment horizontal="left"/>
    </xf>
    <xf numFmtId="0" fontId="8" fillId="0" borderId="47" xfId="0" applyFont="1" applyBorder="1" applyAlignment="1">
      <alignment horizontal="center"/>
    </xf>
    <xf numFmtId="0" fontId="22" fillId="0" borderId="47" xfId="4" applyFont="1" applyBorder="1" applyAlignment="1">
      <alignment horizontal="left"/>
    </xf>
    <xf numFmtId="0" fontId="8" fillId="0" borderId="47" xfId="4" applyBorder="1" applyAlignment="1">
      <alignment horizontal="center"/>
    </xf>
    <xf numFmtId="0" fontId="22" fillId="0" borderId="47" xfId="5" applyFont="1" applyBorder="1" applyAlignment="1">
      <alignment horizontal="left"/>
    </xf>
    <xf numFmtId="0" fontId="8" fillId="0" borderId="47" xfId="5" applyBorder="1" applyAlignment="1">
      <alignment horizontal="center"/>
    </xf>
    <xf numFmtId="0" fontId="8" fillId="0" borderId="47" xfId="5" applyBorder="1"/>
    <xf numFmtId="0" fontId="0" fillId="0" borderId="47" xfId="0" applyBorder="1"/>
    <xf numFmtId="0" fontId="5" fillId="9" borderId="47" xfId="8" applyFill="1" applyBorder="1" applyAlignment="1">
      <alignment horizontal="center" vertical="center"/>
    </xf>
    <xf numFmtId="0" fontId="5" fillId="9" borderId="51" xfId="8" applyFill="1" applyBorder="1" applyAlignment="1">
      <alignment horizontal="center" vertical="center"/>
    </xf>
    <xf numFmtId="10" fontId="5" fillId="11" borderId="47" xfId="8" applyNumberFormat="1" applyFill="1" applyBorder="1" applyAlignment="1">
      <alignment horizontal="center" vertical="center"/>
    </xf>
    <xf numFmtId="2" fontId="5" fillId="11" borderId="47" xfId="8" applyNumberFormat="1" applyFill="1" applyBorder="1" applyAlignment="1">
      <alignment horizontal="center" vertical="center"/>
    </xf>
    <xf numFmtId="0" fontId="5" fillId="10" borderId="47" xfId="8" applyFill="1" applyBorder="1" applyAlignment="1">
      <alignment horizontal="center" vertical="center"/>
    </xf>
    <xf numFmtId="0" fontId="8" fillId="10" borderId="47" xfId="9" applyFill="1" applyBorder="1" applyAlignment="1">
      <alignment horizontal="center" vertical="center"/>
    </xf>
    <xf numFmtId="0" fontId="8" fillId="10" borderId="47" xfId="9" applyFill="1" applyBorder="1" applyAlignment="1">
      <alignment horizontal="center"/>
    </xf>
    <xf numFmtId="1" fontId="9" fillId="6" borderId="47" xfId="8" applyNumberFormat="1" applyFont="1" applyFill="1" applyBorder="1" applyAlignment="1">
      <alignment horizontal="center" vertical="center"/>
    </xf>
    <xf numFmtId="0" fontId="9" fillId="0" borderId="47" xfId="8" applyFont="1" applyBorder="1" applyAlignment="1">
      <alignment horizontal="center" vertical="center"/>
    </xf>
    <xf numFmtId="2" fontId="9" fillId="0" borderId="47" xfId="8" applyNumberFormat="1" applyFont="1" applyBorder="1" applyAlignment="1">
      <alignment horizontal="center" vertical="center"/>
    </xf>
    <xf numFmtId="2" fontId="9" fillId="4" borderId="47" xfId="8" applyNumberFormat="1" applyFont="1" applyFill="1" applyBorder="1" applyAlignment="1" applyProtection="1">
      <alignment horizontal="center" vertical="center"/>
      <protection locked="0"/>
    </xf>
    <xf numFmtId="0" fontId="8" fillId="0" borderId="47" xfId="9" applyBorder="1" applyAlignment="1">
      <alignment horizontal="center" vertical="center"/>
    </xf>
    <xf numFmtId="0" fontId="8" fillId="0" borderId="32" xfId="9" applyBorder="1" applyAlignment="1">
      <alignment horizontal="center" vertical="center"/>
    </xf>
    <xf numFmtId="10" fontId="5" fillId="11" borderId="32" xfId="8" applyNumberFormat="1" applyFill="1" applyBorder="1" applyAlignment="1">
      <alignment horizontal="center" vertical="center"/>
    </xf>
    <xf numFmtId="2" fontId="5" fillId="11" borderId="32" xfId="8" applyNumberFormat="1" applyFill="1" applyBorder="1" applyAlignment="1">
      <alignment horizontal="center" vertical="center"/>
    </xf>
    <xf numFmtId="0" fontId="8" fillId="0" borderId="0" xfId="9" applyAlignment="1">
      <alignment horizontal="center" vertical="center"/>
    </xf>
    <xf numFmtId="10" fontId="5" fillId="0" borderId="0" xfId="8" applyNumberFormat="1" applyAlignment="1">
      <alignment horizontal="center" vertical="center"/>
    </xf>
    <xf numFmtId="2" fontId="5" fillId="0" borderId="0" xfId="8" applyNumberFormat="1" applyAlignment="1">
      <alignment horizontal="center" vertical="center"/>
    </xf>
    <xf numFmtId="0" fontId="8" fillId="10" borderId="32" xfId="9" applyFill="1" applyBorder="1" applyAlignment="1">
      <alignment horizontal="center" vertical="center"/>
    </xf>
    <xf numFmtId="0" fontId="5" fillId="7" borderId="47" xfId="8" applyFill="1" applyBorder="1" applyAlignment="1">
      <alignment horizontal="center" vertical="center"/>
    </xf>
    <xf numFmtId="0" fontId="5" fillId="0" borderId="29" xfId="8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47" xfId="0" applyFill="1" applyBorder="1" applyAlignment="1">
      <alignment horizontal="center"/>
    </xf>
    <xf numFmtId="164" fontId="8" fillId="10" borderId="47" xfId="5" applyNumberFormat="1" applyFill="1" applyBorder="1" applyAlignment="1">
      <alignment horizontal="right"/>
    </xf>
    <xf numFmtId="164" fontId="8" fillId="10" borderId="51" xfId="5" applyNumberFormat="1" applyFill="1" applyBorder="1" applyAlignment="1">
      <alignment horizontal="right"/>
    </xf>
    <xf numFmtId="164" fontId="0" fillId="10" borderId="51" xfId="0" applyNumberFormat="1" applyFill="1" applyBorder="1"/>
    <xf numFmtId="0" fontId="27" fillId="10" borderId="47" xfId="0" applyFont="1" applyFill="1" applyBorder="1"/>
    <xf numFmtId="0" fontId="0" fillId="10" borderId="47" xfId="0" applyFill="1" applyBorder="1"/>
    <xf numFmtId="0" fontId="0" fillId="10" borderId="47" xfId="0" applyFill="1" applyBorder="1" applyAlignment="1">
      <alignment horizontal="center" vertical="center"/>
    </xf>
    <xf numFmtId="0" fontId="27" fillId="10" borderId="32" xfId="0" applyFont="1" applyFill="1" applyBorder="1"/>
    <xf numFmtId="0" fontId="0" fillId="10" borderId="32" xfId="0" applyFill="1" applyBorder="1"/>
    <xf numFmtId="164" fontId="0" fillId="10" borderId="44" xfId="0" applyNumberFormat="1" applyFill="1" applyBorder="1"/>
    <xf numFmtId="7" fontId="0" fillId="0" borderId="0" xfId="0" applyNumberFormat="1"/>
    <xf numFmtId="0" fontId="8" fillId="0" borderId="0" xfId="0" applyFont="1"/>
    <xf numFmtId="0" fontId="0" fillId="0" borderId="0" xfId="0" applyAlignment="1">
      <alignment wrapText="1"/>
    </xf>
    <xf numFmtId="0" fontId="11" fillId="16" borderId="14" xfId="0" applyFont="1" applyFill="1" applyBorder="1" applyAlignment="1" applyProtection="1">
      <alignment horizontal="center" vertical="center"/>
      <protection locked="0"/>
    </xf>
    <xf numFmtId="1" fontId="11" fillId="16" borderId="64" xfId="0" applyNumberFormat="1" applyFont="1" applyFill="1" applyBorder="1" applyAlignment="1" applyProtection="1">
      <alignment horizontal="center" vertical="center"/>
      <protection locked="0"/>
    </xf>
    <xf numFmtId="1" fontId="11" fillId="16" borderId="4" xfId="0" applyNumberFormat="1" applyFont="1" applyFill="1" applyBorder="1" applyAlignment="1" applyProtection="1">
      <alignment horizontal="center" vertical="center"/>
      <protection locked="0"/>
    </xf>
    <xf numFmtId="1" fontId="11" fillId="16" borderId="17" xfId="0" applyNumberFormat="1" applyFont="1" applyFill="1" applyBorder="1" applyAlignment="1" applyProtection="1">
      <alignment horizontal="center" vertical="center"/>
      <protection locked="0"/>
    </xf>
    <xf numFmtId="1" fontId="11" fillId="16" borderId="15" xfId="0" applyNumberFormat="1" applyFont="1" applyFill="1" applyBorder="1" applyAlignment="1" applyProtection="1">
      <alignment horizontal="center" vertical="center"/>
      <protection locked="0"/>
    </xf>
    <xf numFmtId="0" fontId="5" fillId="0" borderId="0" xfId="8" applyAlignment="1">
      <alignment horizontal="center" vertical="center" wrapText="1"/>
    </xf>
    <xf numFmtId="0" fontId="5" fillId="0" borderId="31" xfId="8" applyBorder="1" applyAlignment="1">
      <alignment horizontal="center" vertical="center"/>
    </xf>
    <xf numFmtId="0" fontId="5" fillId="0" borderId="42" xfId="8" applyBorder="1" applyAlignment="1">
      <alignment horizontal="center" vertical="center"/>
    </xf>
    <xf numFmtId="0" fontId="8" fillId="0" borderId="26" xfId="9" applyBorder="1" applyAlignment="1">
      <alignment horizontal="center" vertical="center"/>
    </xf>
    <xf numFmtId="10" fontId="5" fillId="11" borderId="26" xfId="8" applyNumberFormat="1" applyFill="1" applyBorder="1" applyAlignment="1">
      <alignment horizontal="center" vertical="center"/>
    </xf>
    <xf numFmtId="2" fontId="5" fillId="11" borderId="26" xfId="8" applyNumberFormat="1" applyFill="1" applyBorder="1" applyAlignment="1">
      <alignment horizontal="center" vertical="center"/>
    </xf>
    <xf numFmtId="0" fontId="8" fillId="17" borderId="65" xfId="9" applyFill="1" applyBorder="1" applyAlignment="1" applyProtection="1">
      <alignment horizontal="center" vertical="center"/>
      <protection locked="0"/>
    </xf>
    <xf numFmtId="10" fontId="5" fillId="11" borderId="65" xfId="8" applyNumberFormat="1" applyFill="1" applyBorder="1" applyAlignment="1">
      <alignment horizontal="center" vertical="center"/>
    </xf>
    <xf numFmtId="2" fontId="5" fillId="11" borderId="65" xfId="8" applyNumberFormat="1" applyFill="1" applyBorder="1" applyAlignment="1">
      <alignment horizontal="center" vertical="center"/>
    </xf>
    <xf numFmtId="0" fontId="5" fillId="0" borderId="47" xfId="8" applyBorder="1" applyAlignment="1">
      <alignment horizontal="center" vertical="center"/>
    </xf>
    <xf numFmtId="0" fontId="5" fillId="0" borderId="0" xfId="8" applyAlignment="1">
      <alignment horizontal="center" vertical="center"/>
    </xf>
    <xf numFmtId="0" fontId="5" fillId="0" borderId="41" xfId="8" applyBorder="1" applyAlignment="1">
      <alignment horizontal="center" vertical="center"/>
    </xf>
    <xf numFmtId="0" fontId="5" fillId="8" borderId="31" xfId="8" applyFill="1" applyBorder="1" applyAlignment="1">
      <alignment horizontal="center" vertical="center"/>
    </xf>
    <xf numFmtId="0" fontId="8" fillId="11" borderId="47" xfId="9" applyFill="1" applyBorder="1" applyAlignment="1">
      <alignment horizontal="center" vertical="center"/>
    </xf>
    <xf numFmtId="0" fontId="5" fillId="7" borderId="31" xfId="8" applyFill="1" applyBorder="1" applyAlignment="1">
      <alignment horizontal="center" vertical="center"/>
    </xf>
    <xf numFmtId="10" fontId="5" fillId="7" borderId="31" xfId="8" applyNumberFormat="1" applyFill="1" applyBorder="1" applyAlignment="1">
      <alignment horizontal="center" vertical="center"/>
    </xf>
    <xf numFmtId="0" fontId="5" fillId="7" borderId="42" xfId="8" applyFill="1" applyBorder="1" applyAlignment="1">
      <alignment horizontal="center" vertical="center"/>
    </xf>
    <xf numFmtId="0" fontId="5" fillId="12" borderId="32" xfId="8" applyFill="1" applyBorder="1" applyAlignment="1">
      <alignment horizontal="center" vertical="center"/>
    </xf>
    <xf numFmtId="10" fontId="5" fillId="12" borderId="32" xfId="8" applyNumberFormat="1" applyFill="1" applyBorder="1" applyAlignment="1">
      <alignment horizontal="center" vertical="center"/>
    </xf>
    <xf numFmtId="0" fontId="5" fillId="12" borderId="44" xfId="8" applyFill="1" applyBorder="1" applyAlignment="1">
      <alignment horizontal="center" vertical="center"/>
    </xf>
    <xf numFmtId="0" fontId="5" fillId="0" borderId="46" xfId="8" applyBorder="1" applyAlignment="1">
      <alignment horizontal="center" vertical="center"/>
    </xf>
    <xf numFmtId="0" fontId="5" fillId="0" borderId="4" xfId="8" applyBorder="1" applyAlignment="1">
      <alignment horizontal="center" vertical="center"/>
    </xf>
    <xf numFmtId="0" fontId="5" fillId="0" borderId="55" xfId="8" applyBorder="1" applyAlignment="1">
      <alignment horizontal="center" vertical="center"/>
    </xf>
    <xf numFmtId="0" fontId="8" fillId="11" borderId="26" xfId="9" applyFill="1" applyBorder="1" applyAlignment="1">
      <alignment horizontal="center" vertical="center"/>
    </xf>
    <xf numFmtId="0" fontId="5" fillId="0" borderId="54" xfId="8" applyBorder="1" applyAlignment="1">
      <alignment horizontal="center" vertical="center"/>
    </xf>
    <xf numFmtId="0" fontId="24" fillId="0" borderId="53" xfId="8" applyFont="1" applyBorder="1" applyAlignment="1">
      <alignment horizontal="center" vertical="center"/>
    </xf>
    <xf numFmtId="0" fontId="5" fillId="0" borderId="35" xfId="8" applyBorder="1" applyAlignment="1">
      <alignment horizontal="center" vertical="center"/>
    </xf>
    <xf numFmtId="0" fontId="8" fillId="11" borderId="65" xfId="9" applyFill="1" applyBorder="1" applyAlignment="1">
      <alignment horizontal="center" vertical="center"/>
    </xf>
    <xf numFmtId="0" fontId="5" fillId="7" borderId="55" xfId="8" applyFill="1" applyBorder="1" applyAlignment="1">
      <alignment horizontal="center" vertical="center"/>
    </xf>
    <xf numFmtId="0" fontId="26" fillId="7" borderId="26" xfId="8" applyFont="1" applyFill="1" applyBorder="1" applyAlignment="1">
      <alignment horizontal="center" vertical="center"/>
    </xf>
    <xf numFmtId="164" fontId="5" fillId="7" borderId="56" xfId="8" applyNumberFormat="1" applyFill="1" applyBorder="1" applyAlignment="1">
      <alignment horizontal="center" vertical="center"/>
    </xf>
    <xf numFmtId="0" fontId="8" fillId="8" borderId="31" xfId="9" applyFill="1" applyBorder="1" applyAlignment="1">
      <alignment horizontal="center" vertical="center"/>
    </xf>
    <xf numFmtId="0" fontId="5" fillId="0" borderId="43" xfId="8" applyBorder="1" applyAlignment="1">
      <alignment horizontal="center" vertical="center"/>
    </xf>
    <xf numFmtId="2" fontId="5" fillId="6" borderId="47" xfId="8" applyNumberFormat="1" applyFill="1" applyBorder="1" applyAlignment="1">
      <alignment horizontal="center" vertical="center"/>
    </xf>
    <xf numFmtId="3" fontId="5" fillId="6" borderId="47" xfId="8" applyNumberFormat="1" applyFill="1" applyBorder="1" applyAlignment="1">
      <alignment horizontal="center" vertical="center"/>
    </xf>
    <xf numFmtId="0" fontId="5" fillId="6" borderId="0" xfId="8" applyFill="1" applyAlignment="1">
      <alignment horizontal="center" vertical="center"/>
    </xf>
    <xf numFmtId="0" fontId="5" fillId="0" borderId="51" xfId="8" applyBorder="1" applyAlignment="1">
      <alignment horizontal="center" vertical="center"/>
    </xf>
    <xf numFmtId="0" fontId="5" fillId="6" borderId="47" xfId="8" applyFill="1" applyBorder="1" applyAlignment="1">
      <alignment horizontal="center" vertical="center"/>
    </xf>
    <xf numFmtId="0" fontId="5" fillId="10" borderId="0" xfId="8" applyFill="1" applyAlignment="1">
      <alignment horizontal="center" vertical="center"/>
    </xf>
    <xf numFmtId="164" fontId="8" fillId="10" borderId="47" xfId="5" applyNumberFormat="1" applyFill="1" applyBorder="1" applyAlignment="1">
      <alignment horizontal="center" vertical="center"/>
    </xf>
    <xf numFmtId="164" fontId="8" fillId="10" borderId="51" xfId="5" applyNumberFormat="1" applyFill="1" applyBorder="1" applyAlignment="1">
      <alignment horizontal="center" vertical="center"/>
    </xf>
    <xf numFmtId="0" fontId="2" fillId="0" borderId="43" xfId="8" applyFont="1" applyBorder="1" applyAlignment="1">
      <alignment horizontal="center" vertical="center"/>
    </xf>
    <xf numFmtId="0" fontId="5" fillId="0" borderId="32" xfId="8" applyBorder="1" applyAlignment="1">
      <alignment horizontal="center" vertical="center"/>
    </xf>
    <xf numFmtId="0" fontId="5" fillId="0" borderId="44" xfId="8" applyBorder="1" applyAlignment="1">
      <alignment horizontal="center" vertical="center"/>
    </xf>
    <xf numFmtId="10" fontId="5" fillId="6" borderId="47" xfId="8" applyNumberFormat="1" applyFill="1" applyBorder="1" applyAlignment="1">
      <alignment horizontal="center" vertical="center"/>
    </xf>
    <xf numFmtId="0" fontId="2" fillId="0" borderId="35" xfId="8" applyFont="1" applyBorder="1" applyAlignment="1">
      <alignment horizontal="center" vertical="center"/>
    </xf>
    <xf numFmtId="0" fontId="5" fillId="0" borderId="34" xfId="8" applyBorder="1" applyAlignment="1" applyProtection="1">
      <alignment horizontal="center" vertical="center"/>
      <protection locked="0"/>
    </xf>
    <xf numFmtId="0" fontId="25" fillId="0" borderId="47" xfId="8" applyFont="1" applyBorder="1" applyAlignment="1">
      <alignment horizontal="center" vertical="center"/>
    </xf>
    <xf numFmtId="0" fontId="4" fillId="0" borderId="47" xfId="8" applyFont="1" applyBorder="1" applyAlignment="1">
      <alignment horizontal="center" vertical="center"/>
    </xf>
    <xf numFmtId="164" fontId="8" fillId="0" borderId="47" xfId="9" applyNumberFormat="1" applyBorder="1" applyAlignment="1">
      <alignment horizontal="center" vertical="center"/>
    </xf>
    <xf numFmtId="164" fontId="8" fillId="0" borderId="51" xfId="9" applyNumberFormat="1" applyBorder="1" applyAlignment="1">
      <alignment horizontal="center" vertical="center"/>
    </xf>
    <xf numFmtId="0" fontId="3" fillId="0" borderId="0" xfId="8" applyFont="1" applyAlignment="1">
      <alignment horizontal="center" vertical="center"/>
    </xf>
    <xf numFmtId="0" fontId="5" fillId="7" borderId="41" xfId="8" applyFill="1" applyBorder="1" applyAlignment="1">
      <alignment horizontal="center" vertical="center"/>
    </xf>
    <xf numFmtId="0" fontId="5" fillId="12" borderId="43" xfId="8" applyFill="1" applyBorder="1" applyAlignment="1">
      <alignment horizontal="center" vertical="center"/>
    </xf>
    <xf numFmtId="0" fontId="5" fillId="0" borderId="52" xfId="8" applyBorder="1" applyAlignment="1">
      <alignment horizontal="center" vertical="center"/>
    </xf>
    <xf numFmtId="2" fontId="5" fillId="0" borderId="46" xfId="8" applyNumberFormat="1" applyBorder="1" applyAlignment="1">
      <alignment horizontal="center" vertical="center"/>
    </xf>
    <xf numFmtId="2" fontId="5" fillId="0" borderId="47" xfId="8" applyNumberFormat="1" applyBorder="1" applyAlignment="1">
      <alignment horizontal="center" vertical="center"/>
    </xf>
    <xf numFmtId="164" fontId="8" fillId="0" borderId="56" xfId="9" applyNumberFormat="1" applyBorder="1" applyAlignment="1">
      <alignment horizontal="center" vertical="center"/>
    </xf>
    <xf numFmtId="0" fontId="5" fillId="0" borderId="28" xfId="8" applyBorder="1" applyAlignment="1">
      <alignment horizontal="center" vertical="center"/>
    </xf>
    <xf numFmtId="164" fontId="8" fillId="0" borderId="65" xfId="9" applyNumberFormat="1" applyBorder="1" applyAlignment="1">
      <alignment horizontal="center" vertical="center"/>
    </xf>
    <xf numFmtId="164" fontId="8" fillId="0" borderId="34" xfId="9" applyNumberFormat="1" applyBorder="1" applyAlignment="1">
      <alignment horizontal="center" vertical="center"/>
    </xf>
    <xf numFmtId="0" fontId="5" fillId="7" borderId="29" xfId="8" applyFill="1" applyBorder="1" applyAlignment="1">
      <alignment horizontal="center" vertical="center"/>
    </xf>
    <xf numFmtId="164" fontId="5" fillId="7" borderId="48" xfId="8" applyNumberFormat="1" applyFill="1" applyBorder="1" applyAlignment="1">
      <alignment horizontal="center" vertical="center"/>
    </xf>
    <xf numFmtId="164" fontId="5" fillId="7" borderId="39" xfId="8" applyNumberFormat="1" applyFill="1" applyBorder="1" applyAlignment="1">
      <alignment horizontal="center" vertical="center"/>
    </xf>
    <xf numFmtId="164" fontId="8" fillId="0" borderId="0" xfId="9" applyNumberFormat="1" applyAlignment="1">
      <alignment horizontal="center" vertical="center"/>
    </xf>
    <xf numFmtId="164" fontId="5" fillId="12" borderId="33" xfId="8" applyNumberFormat="1" applyFill="1" applyBorder="1" applyAlignment="1">
      <alignment horizontal="center" vertical="center"/>
    </xf>
    <xf numFmtId="0" fontId="5" fillId="12" borderId="40" xfId="8" applyFill="1" applyBorder="1" applyAlignment="1">
      <alignment horizontal="center" vertical="center"/>
    </xf>
    <xf numFmtId="0" fontId="5" fillId="12" borderId="6" xfId="8" applyFill="1" applyBorder="1" applyAlignment="1">
      <alignment horizontal="center" vertical="center"/>
    </xf>
    <xf numFmtId="0" fontId="5" fillId="12" borderId="38" xfId="8" applyFill="1" applyBorder="1" applyAlignment="1">
      <alignment horizontal="center" vertical="center"/>
    </xf>
    <xf numFmtId="164" fontId="5" fillId="12" borderId="38" xfId="8" applyNumberFormat="1" applyFill="1" applyBorder="1" applyAlignment="1">
      <alignment horizontal="center" vertical="center"/>
    </xf>
    <xf numFmtId="164" fontId="0" fillId="10" borderId="47" xfId="0" applyNumberFormat="1" applyFill="1" applyBorder="1" applyAlignment="1">
      <alignment horizontal="center" vertical="center"/>
    </xf>
    <xf numFmtId="164" fontId="0" fillId="10" borderId="51" xfId="0" applyNumberFormat="1" applyFill="1" applyBorder="1" applyAlignment="1">
      <alignment horizontal="center" vertical="center"/>
    </xf>
    <xf numFmtId="164" fontId="5" fillId="0" borderId="47" xfId="8" applyNumberFormat="1" applyBorder="1" applyAlignment="1">
      <alignment horizontal="center" vertical="center"/>
    </xf>
    <xf numFmtId="0" fontId="27" fillId="10" borderId="47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10" borderId="31" xfId="0" applyFill="1" applyBorder="1" applyAlignment="1">
      <alignment horizontal="center"/>
    </xf>
    <xf numFmtId="0" fontId="8" fillId="10" borderId="29" xfId="9" applyFill="1" applyBorder="1" applyAlignment="1">
      <alignment horizontal="center" vertical="center"/>
    </xf>
    <xf numFmtId="0" fontId="8" fillId="18" borderId="41" xfId="9" applyFill="1" applyBorder="1" applyAlignment="1">
      <alignment horizontal="center" vertical="center"/>
    </xf>
    <xf numFmtId="0" fontId="8" fillId="18" borderId="31" xfId="9" applyFill="1" applyBorder="1" applyAlignment="1">
      <alignment horizontal="center" vertical="center"/>
    </xf>
    <xf numFmtId="0" fontId="0" fillId="18" borderId="31" xfId="0" applyFill="1" applyBorder="1" applyAlignment="1">
      <alignment horizontal="center"/>
    </xf>
    <xf numFmtId="164" fontId="0" fillId="18" borderId="31" xfId="0" applyNumberFormat="1" applyFill="1" applyBorder="1"/>
    <xf numFmtId="164" fontId="0" fillId="18" borderId="42" xfId="0" applyNumberFormat="1" applyFill="1" applyBorder="1"/>
    <xf numFmtId="0" fontId="8" fillId="18" borderId="29" xfId="9" applyFill="1" applyBorder="1" applyAlignment="1">
      <alignment horizontal="center" vertical="center"/>
    </xf>
    <xf numFmtId="0" fontId="8" fillId="18" borderId="47" xfId="9" applyFill="1" applyBorder="1" applyAlignment="1">
      <alignment horizontal="center" vertical="center"/>
    </xf>
    <xf numFmtId="0" fontId="0" fillId="18" borderId="47" xfId="0" applyFill="1" applyBorder="1" applyAlignment="1">
      <alignment horizontal="center"/>
    </xf>
    <xf numFmtId="164" fontId="0" fillId="18" borderId="47" xfId="0" applyNumberFormat="1" applyFill="1" applyBorder="1"/>
    <xf numFmtId="164" fontId="0" fillId="18" borderId="51" xfId="0" applyNumberFormat="1" applyFill="1" applyBorder="1"/>
    <xf numFmtId="164" fontId="0" fillId="18" borderId="51" xfId="0" applyNumberFormat="1" applyFill="1" applyBorder="1" applyAlignment="1">
      <alignment horizontal="right"/>
    </xf>
    <xf numFmtId="0" fontId="0" fillId="18" borderId="29" xfId="0" applyFill="1" applyBorder="1"/>
    <xf numFmtId="0" fontId="0" fillId="18" borderId="47" xfId="0" applyFill="1" applyBorder="1"/>
    <xf numFmtId="7" fontId="0" fillId="18" borderId="47" xfId="0" applyNumberFormat="1" applyFill="1" applyBorder="1"/>
    <xf numFmtId="7" fontId="0" fillId="18" borderId="51" xfId="0" applyNumberFormat="1" applyFill="1" applyBorder="1"/>
    <xf numFmtId="0" fontId="0" fillId="18" borderId="43" xfId="0" applyFill="1" applyBorder="1"/>
    <xf numFmtId="0" fontId="0" fillId="18" borderId="32" xfId="0" applyFill="1" applyBorder="1"/>
    <xf numFmtId="7" fontId="0" fillId="18" borderId="32" xfId="0" applyNumberFormat="1" applyFill="1" applyBorder="1"/>
    <xf numFmtId="7" fontId="0" fillId="18" borderId="44" xfId="0" applyNumberFormat="1" applyFill="1" applyBorder="1"/>
    <xf numFmtId="0" fontId="0" fillId="10" borderId="41" xfId="0" applyFill="1" applyBorder="1" applyAlignment="1">
      <alignment horizontal="center"/>
    </xf>
    <xf numFmtId="164" fontId="8" fillId="10" borderId="31" xfId="5" applyNumberFormat="1" applyFill="1" applyBorder="1" applyAlignment="1">
      <alignment horizontal="right"/>
    </xf>
    <xf numFmtId="164" fontId="8" fillId="10" borderId="42" xfId="5" applyNumberFormat="1" applyFill="1" applyBorder="1" applyAlignment="1">
      <alignment horizontal="right"/>
    </xf>
    <xf numFmtId="0" fontId="0" fillId="10" borderId="29" xfId="0" applyFill="1" applyBorder="1" applyAlignment="1">
      <alignment horizontal="center" vertical="center"/>
    </xf>
    <xf numFmtId="0" fontId="8" fillId="10" borderId="43" xfId="9" applyFill="1" applyBorder="1" applyAlignment="1">
      <alignment horizontal="center" vertical="center"/>
    </xf>
    <xf numFmtId="0" fontId="8" fillId="10" borderId="32" xfId="9" applyFill="1" applyBorder="1" applyAlignment="1">
      <alignment horizontal="center"/>
    </xf>
    <xf numFmtId="164" fontId="8" fillId="10" borderId="32" xfId="5" applyNumberFormat="1" applyFill="1" applyBorder="1" applyAlignment="1">
      <alignment horizontal="right"/>
    </xf>
    <xf numFmtId="164" fontId="8" fillId="10" borderId="44" xfId="5" applyNumberFormat="1" applyFill="1" applyBorder="1" applyAlignment="1">
      <alignment horizontal="right"/>
    </xf>
    <xf numFmtId="0" fontId="11" fillId="16" borderId="61" xfId="0" applyFont="1" applyFill="1" applyBorder="1" applyAlignment="1" applyProtection="1">
      <alignment horizontal="center" vertical="center"/>
      <protection locked="0"/>
    </xf>
    <xf numFmtId="0" fontId="11" fillId="15" borderId="59" xfId="0" applyFont="1" applyFill="1" applyBorder="1" applyAlignment="1" applyProtection="1">
      <alignment horizontal="center" vertical="center"/>
      <protection locked="0"/>
    </xf>
    <xf numFmtId="0" fontId="11" fillId="15" borderId="64" xfId="0" applyFont="1" applyFill="1" applyBorder="1" applyAlignment="1" applyProtection="1">
      <alignment horizontal="center" vertical="center"/>
      <protection locked="0"/>
    </xf>
    <xf numFmtId="0" fontId="1" fillId="0" borderId="18" xfId="8" applyFont="1" applyBorder="1" applyAlignment="1">
      <alignment horizontal="center" vertical="center"/>
    </xf>
    <xf numFmtId="0" fontId="5" fillId="0" borderId="10" xfId="8" applyBorder="1" applyAlignment="1">
      <alignment horizontal="center" vertical="center"/>
    </xf>
    <xf numFmtId="0" fontId="11" fillId="15" borderId="34" xfId="0" applyFont="1" applyFill="1" applyBorder="1" applyAlignment="1" applyProtection="1">
      <alignment horizontal="center" vertical="center"/>
      <protection locked="0"/>
    </xf>
    <xf numFmtId="0" fontId="8" fillId="13" borderId="3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8" fillId="13" borderId="57" xfId="0" applyFont="1" applyFill="1" applyBorder="1" applyAlignment="1">
      <alignment horizontal="center" vertical="center"/>
    </xf>
    <xf numFmtId="0" fontId="15" fillId="13" borderId="60" xfId="0" applyFont="1" applyFill="1" applyBorder="1" applyAlignment="1">
      <alignment horizontal="center" vertical="center"/>
    </xf>
    <xf numFmtId="0" fontId="8" fillId="13" borderId="60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3" borderId="62" xfId="0" applyFont="1" applyFill="1" applyBorder="1" applyAlignment="1">
      <alignment horizontal="center" vertical="center"/>
    </xf>
    <xf numFmtId="165" fontId="15" fillId="13" borderId="0" xfId="0" applyNumberFormat="1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15" fillId="13" borderId="4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15" fillId="13" borderId="7" xfId="0" applyFont="1" applyFill="1" applyBorder="1" applyAlignment="1">
      <alignment horizontal="center" vertical="center"/>
    </xf>
    <xf numFmtId="165" fontId="15" fillId="13" borderId="15" xfId="0" applyNumberFormat="1" applyFont="1" applyFill="1" applyBorder="1" applyAlignment="1">
      <alignment horizontal="center" vertical="center"/>
    </xf>
    <xf numFmtId="1" fontId="15" fillId="13" borderId="9" xfId="0" applyNumberFormat="1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15" fillId="13" borderId="17" xfId="0" applyFont="1" applyFill="1" applyBorder="1" applyAlignment="1">
      <alignment horizontal="center" vertical="center"/>
    </xf>
    <xf numFmtId="0" fontId="11" fillId="13" borderId="57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1" fillId="13" borderId="62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8" fillId="13" borderId="5" xfId="0" applyFont="1" applyFill="1" applyBorder="1" applyAlignment="1">
      <alignment horizontal="center" vertical="center"/>
    </xf>
    <xf numFmtId="0" fontId="8" fillId="13" borderId="4" xfId="0" applyFont="1" applyFill="1" applyBorder="1" applyAlignment="1">
      <alignment horizontal="center" vertical="center"/>
    </xf>
    <xf numFmtId="167" fontId="15" fillId="13" borderId="0" xfId="0" applyNumberFormat="1" applyFont="1" applyFill="1" applyAlignment="1">
      <alignment horizontal="center" vertical="center"/>
    </xf>
    <xf numFmtId="0" fontId="8" fillId="13" borderId="13" xfId="0" applyFont="1" applyFill="1" applyBorder="1" applyAlignment="1">
      <alignment horizontal="center" vertical="center"/>
    </xf>
    <xf numFmtId="167" fontId="15" fillId="13" borderId="9" xfId="0" applyNumberFormat="1" applyFont="1" applyFill="1" applyBorder="1" applyAlignment="1">
      <alignment horizontal="center" vertical="center"/>
    </xf>
    <xf numFmtId="0" fontId="19" fillId="13" borderId="14" xfId="0" applyFont="1" applyFill="1" applyBorder="1" applyAlignment="1">
      <alignment horizontal="center" vertical="center"/>
    </xf>
    <xf numFmtId="0" fontId="15" fillId="13" borderId="15" xfId="0" applyFont="1" applyFill="1" applyBorder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19" fillId="13" borderId="13" xfId="0" applyFont="1" applyFill="1" applyBorder="1" applyAlignment="1">
      <alignment horizontal="center" vertical="center"/>
    </xf>
    <xf numFmtId="0" fontId="8" fillId="13" borderId="18" xfId="0" applyFont="1" applyFill="1" applyBorder="1" applyAlignment="1">
      <alignment horizontal="center" vertical="center"/>
    </xf>
    <xf numFmtId="0" fontId="15" fillId="13" borderId="10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15" fillId="13" borderId="59" xfId="0" applyFont="1" applyFill="1" applyBorder="1" applyAlignment="1">
      <alignment horizontal="center" vertical="center"/>
    </xf>
    <xf numFmtId="2" fontId="15" fillId="13" borderId="12" xfId="0" applyNumberFormat="1" applyFont="1" applyFill="1" applyBorder="1" applyAlignment="1">
      <alignment horizontal="center" vertical="center"/>
    </xf>
    <xf numFmtId="0" fontId="15" fillId="5" borderId="14" xfId="0" applyFont="1" applyFill="1" applyBorder="1" applyAlignment="1">
      <alignment horizontal="center" vertical="center"/>
    </xf>
    <xf numFmtId="166" fontId="15" fillId="5" borderId="15" xfId="0" applyNumberFormat="1" applyFont="1" applyFill="1" applyBorder="1" applyAlignment="1">
      <alignment horizontal="center" vertical="center"/>
    </xf>
    <xf numFmtId="2" fontId="11" fillId="13" borderId="60" xfId="0" applyNumberFormat="1" applyFont="1" applyFill="1" applyBorder="1" applyAlignment="1">
      <alignment horizontal="center" vertical="center"/>
    </xf>
    <xf numFmtId="0" fontId="15" fillId="13" borderId="57" xfId="0" applyFont="1" applyFill="1" applyBorder="1" applyAlignment="1">
      <alignment horizontal="center" vertical="center"/>
    </xf>
    <xf numFmtId="2" fontId="15" fillId="13" borderId="59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66" fontId="15" fillId="5" borderId="4" xfId="0" applyNumberFormat="1" applyFont="1" applyFill="1" applyBorder="1" applyAlignment="1">
      <alignment horizontal="center" vertical="center"/>
    </xf>
    <xf numFmtId="168" fontId="15" fillId="13" borderId="61" xfId="0" applyNumberFormat="1" applyFont="1" applyFill="1" applyBorder="1" applyAlignment="1">
      <alignment horizontal="center" vertical="center"/>
    </xf>
    <xf numFmtId="2" fontId="15" fillId="13" borderId="6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13" borderId="62" xfId="0" applyFont="1" applyFill="1" applyBorder="1" applyAlignment="1">
      <alignment horizontal="center" vertical="center"/>
    </xf>
    <xf numFmtId="2" fontId="15" fillId="13" borderId="64" xfId="0" applyNumberFormat="1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166" fontId="15" fillId="5" borderId="17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22" fillId="0" borderId="0" xfId="4" applyFont="1" applyAlignment="1">
      <alignment horizontal="center" vertical="center"/>
    </xf>
    <xf numFmtId="0" fontId="15" fillId="0" borderId="0" xfId="4" applyFont="1" applyAlignment="1">
      <alignment horizontal="center" vertical="center"/>
    </xf>
    <xf numFmtId="0" fontId="22" fillId="0" borderId="0" xfId="5" applyFont="1" applyAlignment="1">
      <alignment horizontal="center" vertical="center"/>
    </xf>
    <xf numFmtId="0" fontId="15" fillId="0" borderId="0" xfId="5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8" fillId="0" borderId="0" xfId="5" applyAlignment="1">
      <alignment horizontal="center" vertical="center"/>
    </xf>
    <xf numFmtId="0" fontId="11" fillId="13" borderId="11" xfId="0" applyFont="1" applyFill="1" applyBorder="1" applyAlignment="1">
      <alignment horizontal="center" vertical="center"/>
    </xf>
    <xf numFmtId="2" fontId="15" fillId="0" borderId="5" xfId="0" applyNumberFormat="1" applyFont="1" applyBorder="1" applyAlignment="1">
      <alignment horizontal="center" vertical="center"/>
    </xf>
    <xf numFmtId="0" fontId="11" fillId="13" borderId="16" xfId="0" applyFont="1" applyFill="1" applyBorder="1" applyAlignment="1">
      <alignment horizontal="center" vertical="center"/>
    </xf>
    <xf numFmtId="0" fontId="11" fillId="13" borderId="12" xfId="0" applyFont="1" applyFill="1" applyBorder="1" applyAlignment="1">
      <alignment horizontal="center" vertical="center"/>
    </xf>
    <xf numFmtId="0" fontId="20" fillId="0" borderId="5" xfId="0" applyFont="1" applyBorder="1" applyAlignment="1">
      <alignment horizontal="center" vertical="center" wrapText="1"/>
    </xf>
    <xf numFmtId="0" fontId="11" fillId="13" borderId="60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3" borderId="53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17" fillId="3" borderId="20" xfId="0" applyFont="1" applyFill="1" applyBorder="1" applyAlignment="1">
      <alignment horizontal="center" vertical="center"/>
    </xf>
    <xf numFmtId="0" fontId="17" fillId="3" borderId="66" xfId="0" applyFont="1" applyFill="1" applyBorder="1" applyAlignment="1">
      <alignment horizontal="center" vertical="center"/>
    </xf>
    <xf numFmtId="0" fontId="8" fillId="3" borderId="67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49" fontId="15" fillId="3" borderId="47" xfId="0" applyNumberFormat="1" applyFont="1" applyFill="1" applyBorder="1" applyAlignment="1">
      <alignment horizontal="center" vertical="center"/>
    </xf>
    <xf numFmtId="49" fontId="15" fillId="3" borderId="22" xfId="0" applyNumberFormat="1" applyFont="1" applyFill="1" applyBorder="1" applyAlignment="1">
      <alignment horizontal="center" vertical="center"/>
    </xf>
    <xf numFmtId="10" fontId="15" fillId="0" borderId="0" xfId="0" applyNumberFormat="1" applyFont="1" applyAlignment="1">
      <alignment horizontal="center" vertical="center"/>
    </xf>
    <xf numFmtId="0" fontId="11" fillId="3" borderId="23" xfId="0" applyFont="1" applyFill="1" applyBorder="1" applyAlignment="1">
      <alignment horizontal="center" vertical="center"/>
    </xf>
    <xf numFmtId="49" fontId="15" fillId="3" borderId="24" xfId="0" applyNumberFormat="1" applyFont="1" applyFill="1" applyBorder="1" applyAlignment="1">
      <alignment horizontal="center" vertical="center"/>
    </xf>
    <xf numFmtId="49" fontId="15" fillId="3" borderId="25" xfId="0" applyNumberFormat="1" applyFont="1" applyFill="1" applyBorder="1" applyAlignment="1">
      <alignment horizontal="center" vertical="center"/>
    </xf>
    <xf numFmtId="0" fontId="8" fillId="3" borderId="68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center" vertical="center"/>
    </xf>
    <xf numFmtId="0" fontId="15" fillId="13" borderId="3" xfId="0" applyFont="1" applyFill="1" applyBorder="1" applyAlignment="1">
      <alignment horizontal="right" vertical="center"/>
    </xf>
    <xf numFmtId="0" fontId="8" fillId="13" borderId="4" xfId="0" applyFont="1" applyFill="1" applyBorder="1" applyAlignment="1">
      <alignment horizontal="left" vertical="center"/>
    </xf>
    <xf numFmtId="165" fontId="15" fillId="13" borderId="8" xfId="0" applyNumberFormat="1" applyFont="1" applyFill="1" applyBorder="1" applyAlignment="1">
      <alignment horizontal="right" vertical="center"/>
    </xf>
    <xf numFmtId="0" fontId="15" fillId="13" borderId="17" xfId="0" applyFont="1" applyFill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6" fillId="0" borderId="0" xfId="0" applyFont="1" applyAlignment="1">
      <alignment horizontal="left" vertical="center"/>
    </xf>
    <xf numFmtId="0" fontId="30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>
      <alignment horizontal="left" vertical="top"/>
    </xf>
    <xf numFmtId="0" fontId="30" fillId="7" borderId="0" xfId="0" applyFont="1" applyFill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31" fillId="14" borderId="0" xfId="0" applyFont="1" applyFill="1" applyAlignment="1">
      <alignment horizontal="left" vertical="center"/>
    </xf>
    <xf numFmtId="2" fontId="30" fillId="7" borderId="0" xfId="0" applyNumberFormat="1" applyFont="1" applyFill="1" applyAlignment="1">
      <alignment horizontal="left" vertical="center"/>
    </xf>
    <xf numFmtId="2" fontId="30" fillId="0" borderId="0" xfId="0" applyNumberFormat="1" applyFont="1" applyAlignment="1">
      <alignment horizontal="left" vertical="center"/>
    </xf>
    <xf numFmtId="164" fontId="30" fillId="7" borderId="0" xfId="0" applyNumberFormat="1" applyFont="1" applyFill="1" applyAlignment="1">
      <alignment horizontal="left" vertical="center"/>
    </xf>
    <xf numFmtId="0" fontId="30" fillId="14" borderId="0" xfId="0" applyFont="1" applyFill="1" applyAlignment="1">
      <alignment horizontal="left" vertical="center"/>
    </xf>
    <xf numFmtId="0" fontId="30" fillId="0" borderId="47" xfId="0" applyFont="1" applyBorder="1" applyAlignment="1">
      <alignment horizontal="left" vertical="center"/>
    </xf>
    <xf numFmtId="0" fontId="40" fillId="0" borderId="0" xfId="0" quotePrefix="1" applyFont="1" applyAlignment="1">
      <alignment horizontal="left" vertical="center"/>
    </xf>
    <xf numFmtId="0" fontId="40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0" fontId="41" fillId="0" borderId="49" xfId="0" quotePrefix="1" applyFont="1" applyBorder="1" applyAlignment="1">
      <alignment horizontal="center" vertical="center"/>
    </xf>
    <xf numFmtId="0" fontId="30" fillId="0" borderId="48" xfId="0" applyFont="1" applyBorder="1" applyAlignment="1">
      <alignment horizontal="center" vertical="center"/>
    </xf>
    <xf numFmtId="0" fontId="30" fillId="0" borderId="49" xfId="0" quotePrefix="1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/>
    </xf>
    <xf numFmtId="0" fontId="30" fillId="0" borderId="47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3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31" fillId="0" borderId="0" xfId="0" applyFont="1" applyAlignment="1">
      <alignment vertical="center" wrapText="1"/>
    </xf>
    <xf numFmtId="0" fontId="30" fillId="19" borderId="0" xfId="0" applyFont="1" applyFill="1" applyAlignment="1">
      <alignment horizontal="left" vertical="center"/>
    </xf>
    <xf numFmtId="0" fontId="30" fillId="19" borderId="0" xfId="0" applyFont="1" applyFill="1" applyAlignment="1">
      <alignment vertical="center"/>
    </xf>
    <xf numFmtId="0" fontId="44" fillId="19" borderId="0" xfId="0" applyFont="1" applyFill="1" applyAlignment="1">
      <alignment vertical="center"/>
    </xf>
    <xf numFmtId="0" fontId="30" fillId="19" borderId="0" xfId="0" applyFont="1" applyFill="1" applyAlignment="1" applyProtection="1">
      <alignment horizontal="left" vertical="center"/>
      <protection locked="0"/>
    </xf>
    <xf numFmtId="0" fontId="31" fillId="19" borderId="0" xfId="0" applyFont="1" applyFill="1" applyAlignment="1">
      <alignment horizontal="left" vertical="center"/>
    </xf>
    <xf numFmtId="0" fontId="30" fillId="20" borderId="0" xfId="0" applyFont="1" applyFill="1" applyAlignment="1">
      <alignment horizontal="left" vertical="center"/>
    </xf>
    <xf numFmtId="0" fontId="30" fillId="20" borderId="0" xfId="0" applyFont="1" applyFill="1" applyAlignment="1">
      <alignment vertical="center"/>
    </xf>
    <xf numFmtId="0" fontId="30" fillId="20" borderId="0" xfId="0" applyFont="1" applyFill="1" applyAlignment="1" applyProtection="1">
      <alignment horizontal="left" vertical="center"/>
      <protection locked="0"/>
    </xf>
    <xf numFmtId="0" fontId="31" fillId="20" borderId="0" xfId="0" applyFont="1" applyFill="1" applyAlignment="1">
      <alignment horizontal="left" vertical="center"/>
    </xf>
    <xf numFmtId="0" fontId="30" fillId="0" borderId="0" xfId="4" applyFont="1" applyAlignment="1">
      <alignment horizontal="left" vertical="center"/>
    </xf>
    <xf numFmtId="10" fontId="35" fillId="0" borderId="0" xfId="4" applyNumberFormat="1" applyFont="1" applyAlignment="1">
      <alignment horizontal="left" vertical="center"/>
    </xf>
    <xf numFmtId="0" fontId="44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40" fillId="0" borderId="47" xfId="0" applyFont="1" applyBorder="1" applyAlignment="1">
      <alignment vertical="center"/>
    </xf>
    <xf numFmtId="0" fontId="36" fillId="0" borderId="0" xfId="0" applyFont="1" applyAlignment="1">
      <alignment horizontal="center" vertical="center"/>
    </xf>
    <xf numFmtId="0" fontId="40" fillId="0" borderId="50" xfId="0" applyFont="1" applyBorder="1" applyAlignment="1">
      <alignment horizontal="left" vertical="center"/>
    </xf>
    <xf numFmtId="0" fontId="41" fillId="0" borderId="48" xfId="0" applyFont="1" applyBorder="1" applyAlignment="1">
      <alignment horizontal="center" vertical="center"/>
    </xf>
    <xf numFmtId="0" fontId="41" fillId="0" borderId="50" xfId="0" applyFont="1" applyBorder="1" applyAlignment="1">
      <alignment horizontal="center" vertical="center"/>
    </xf>
    <xf numFmtId="0" fontId="31" fillId="0" borderId="9" xfId="0" applyFont="1" applyBorder="1" applyAlignment="1">
      <alignment vertical="center"/>
    </xf>
    <xf numFmtId="0" fontId="40" fillId="0" borderId="48" xfId="0" applyFont="1" applyBorder="1" applyAlignment="1">
      <alignment horizontal="left" vertical="center"/>
    </xf>
    <xf numFmtId="0" fontId="31" fillId="0" borderId="0" xfId="0" applyFont="1" applyAlignment="1">
      <alignment horizontal="center" vertical="center" wrapText="1"/>
    </xf>
    <xf numFmtId="0" fontId="34" fillId="0" borderId="0" xfId="0" applyFont="1" applyAlignment="1">
      <alignment vertical="top"/>
    </xf>
    <xf numFmtId="0" fontId="34" fillId="0" borderId="0" xfId="0" applyFont="1" applyAlignment="1">
      <alignment horizontal="left" vertical="top"/>
    </xf>
    <xf numFmtId="0" fontId="30" fillId="0" borderId="48" xfId="0" applyFont="1" applyBorder="1" applyAlignment="1">
      <alignment vertical="center"/>
    </xf>
    <xf numFmtId="0" fontId="30" fillId="0" borderId="50" xfId="0" applyFont="1" applyBorder="1" applyAlignment="1">
      <alignment vertical="center"/>
    </xf>
    <xf numFmtId="0" fontId="34" fillId="0" borderId="5" xfId="0" applyFont="1" applyBorder="1" applyAlignment="1">
      <alignment vertical="top"/>
    </xf>
    <xf numFmtId="0" fontId="34" fillId="0" borderId="4" xfId="0" applyFont="1" applyBorder="1" applyAlignment="1">
      <alignment vertical="top"/>
    </xf>
    <xf numFmtId="0" fontId="34" fillId="0" borderId="13" xfId="0" applyFont="1" applyBorder="1" applyAlignment="1">
      <alignment vertical="top"/>
    </xf>
    <xf numFmtId="0" fontId="34" fillId="0" borderId="9" xfId="0" applyFont="1" applyBorder="1" applyAlignment="1">
      <alignment vertical="top"/>
    </xf>
    <xf numFmtId="0" fontId="34" fillId="0" borderId="17" xfId="0" applyFont="1" applyBorder="1" applyAlignment="1">
      <alignment vertical="top"/>
    </xf>
    <xf numFmtId="0" fontId="31" fillId="14" borderId="0" xfId="0" applyFont="1" applyFill="1" applyAlignment="1">
      <alignment horizontal="center" vertical="center"/>
    </xf>
    <xf numFmtId="0" fontId="40" fillId="0" borderId="49" xfId="0" applyFont="1" applyBorder="1" applyAlignment="1">
      <alignment horizontal="left" vertical="center"/>
    </xf>
    <xf numFmtId="0" fontId="42" fillId="0" borderId="0" xfId="0" quotePrefix="1" applyFont="1" applyAlignment="1">
      <alignment horizontal="left" vertical="center"/>
    </xf>
    <xf numFmtId="0" fontId="30" fillId="0" borderId="27" xfId="0" applyFont="1" applyBorder="1" applyAlignment="1">
      <alignment vertical="center"/>
    </xf>
    <xf numFmtId="0" fontId="31" fillId="0" borderId="27" xfId="0" applyFont="1" applyBorder="1" applyAlignment="1">
      <alignment vertical="center"/>
    </xf>
    <xf numFmtId="0" fontId="40" fillId="0" borderId="48" xfId="0" applyFont="1" applyBorder="1" applyAlignment="1">
      <alignment horizontal="center" vertical="center"/>
    </xf>
    <xf numFmtId="0" fontId="40" fillId="0" borderId="49" xfId="0" applyFont="1" applyBorder="1" applyAlignment="1">
      <alignment horizontal="center" vertical="center"/>
    </xf>
    <xf numFmtId="0" fontId="40" fillId="0" borderId="50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71" xfId="0" applyFont="1" applyBorder="1" applyAlignment="1">
      <alignment horizontal="center" vertical="center"/>
    </xf>
    <xf numFmtId="0" fontId="30" fillId="0" borderId="45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43" fillId="0" borderId="48" xfId="0" applyFont="1" applyBorder="1" applyAlignment="1">
      <alignment horizontal="right" vertical="center"/>
    </xf>
    <xf numFmtId="0" fontId="43" fillId="0" borderId="49" xfId="0" applyFont="1" applyBorder="1" applyAlignment="1">
      <alignment horizontal="right" vertical="center"/>
    </xf>
    <xf numFmtId="0" fontId="43" fillId="0" borderId="50" xfId="0" applyFont="1" applyBorder="1" applyAlignment="1">
      <alignment horizontal="right" vertical="center"/>
    </xf>
    <xf numFmtId="0" fontId="30" fillId="0" borderId="7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73" xfId="0" applyFont="1" applyBorder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0" fillId="0" borderId="0" xfId="0" quotePrefix="1" applyFont="1" applyAlignment="1">
      <alignment horizontal="center" vertical="center"/>
    </xf>
    <xf numFmtId="0" fontId="30" fillId="0" borderId="36" xfId="0" quotePrefix="1" applyFont="1" applyBorder="1" applyAlignment="1">
      <alignment horizontal="center" vertical="center"/>
    </xf>
    <xf numFmtId="0" fontId="30" fillId="0" borderId="73" xfId="0" quotePrefix="1" applyFont="1" applyBorder="1" applyAlignment="1">
      <alignment horizontal="center" vertical="center"/>
    </xf>
    <xf numFmtId="0" fontId="42" fillId="0" borderId="0" xfId="0" quotePrefix="1" applyFont="1" applyAlignment="1">
      <alignment vertical="center" wrapText="1"/>
    </xf>
    <xf numFmtId="0" fontId="40" fillId="0" borderId="37" xfId="0" applyFont="1" applyBorder="1" applyAlignment="1">
      <alignment horizontal="center" vertical="center"/>
    </xf>
    <xf numFmtId="0" fontId="40" fillId="0" borderId="36" xfId="0" applyFont="1" applyBorder="1" applyAlignment="1">
      <alignment horizontal="center" vertical="center"/>
    </xf>
    <xf numFmtId="0" fontId="40" fillId="0" borderId="71" xfId="0" applyFont="1" applyBorder="1" applyAlignment="1">
      <alignment horizontal="center" vertical="center"/>
    </xf>
    <xf numFmtId="0" fontId="40" fillId="0" borderId="72" xfId="0" applyFont="1" applyBorder="1" applyAlignment="1">
      <alignment horizontal="center" vertical="center"/>
    </xf>
    <xf numFmtId="0" fontId="40" fillId="0" borderId="73" xfId="0" applyFont="1" applyBorder="1" applyAlignment="1">
      <alignment horizontal="center" vertical="center"/>
    </xf>
    <xf numFmtId="0" fontId="40" fillId="0" borderId="45" xfId="0" applyFont="1" applyBorder="1" applyAlignment="1">
      <alignment horizontal="center" vertical="center"/>
    </xf>
    <xf numFmtId="0" fontId="41" fillId="0" borderId="72" xfId="0" applyFont="1" applyBorder="1" applyAlignment="1">
      <alignment horizontal="center" vertical="center"/>
    </xf>
    <xf numFmtId="0" fontId="41" fillId="0" borderId="73" xfId="0" quotePrefix="1" applyFont="1" applyBorder="1" applyAlignment="1">
      <alignment horizontal="center" vertical="center"/>
    </xf>
    <xf numFmtId="0" fontId="41" fillId="0" borderId="45" xfId="0" applyFont="1" applyBorder="1" applyAlignment="1">
      <alignment horizontal="center" vertical="center"/>
    </xf>
    <xf numFmtId="0" fontId="41" fillId="0" borderId="73" xfId="0" applyFont="1" applyBorder="1" applyAlignment="1">
      <alignment horizontal="center" vertical="center"/>
    </xf>
    <xf numFmtId="0" fontId="34" fillId="0" borderId="6" xfId="0" applyFont="1" applyBorder="1" applyAlignment="1">
      <alignment vertical="top"/>
    </xf>
    <xf numFmtId="0" fontId="41" fillId="0" borderId="72" xfId="0" applyFont="1" applyBorder="1" applyAlignment="1">
      <alignment horizontal="left" vertical="center"/>
    </xf>
    <xf numFmtId="0" fontId="31" fillId="14" borderId="37" xfId="0" applyFont="1" applyFill="1" applyBorder="1" applyAlignment="1">
      <alignment horizontal="left" vertical="center"/>
    </xf>
    <xf numFmtId="0" fontId="30" fillId="14" borderId="36" xfId="0" applyFont="1" applyFill="1" applyBorder="1" applyAlignment="1">
      <alignment horizontal="left" vertical="center"/>
    </xf>
    <xf numFmtId="0" fontId="38" fillId="14" borderId="36" xfId="0" applyFont="1" applyFill="1" applyBorder="1" applyAlignment="1">
      <alignment horizontal="left" vertical="center"/>
    </xf>
    <xf numFmtId="0" fontId="31" fillId="14" borderId="36" xfId="0" applyFont="1" applyFill="1" applyBorder="1" applyAlignment="1">
      <alignment horizontal="left" vertical="center"/>
    </xf>
    <xf numFmtId="0" fontId="30" fillId="14" borderId="36" xfId="0" applyFont="1" applyFill="1" applyBorder="1" applyAlignment="1">
      <alignment vertical="center"/>
    </xf>
    <xf numFmtId="0" fontId="30" fillId="14" borderId="71" xfId="0" applyFont="1" applyFill="1" applyBorder="1" applyAlignment="1">
      <alignment horizontal="left" vertical="center"/>
    </xf>
    <xf numFmtId="0" fontId="31" fillId="14" borderId="3" xfId="0" applyFont="1" applyFill="1" applyBorder="1" applyAlignment="1">
      <alignment horizontal="left" vertical="center"/>
    </xf>
    <xf numFmtId="0" fontId="30" fillId="14" borderId="69" xfId="0" applyFont="1" applyFill="1" applyBorder="1" applyAlignment="1">
      <alignment horizontal="left" vertical="center"/>
    </xf>
    <xf numFmtId="0" fontId="31" fillId="14" borderId="72" xfId="0" applyFont="1" applyFill="1" applyBorder="1" applyAlignment="1">
      <alignment horizontal="left" vertical="center"/>
    </xf>
    <xf numFmtId="0" fontId="30" fillId="14" borderId="73" xfId="0" applyFont="1" applyFill="1" applyBorder="1" applyAlignment="1">
      <alignment horizontal="left" vertical="center"/>
    </xf>
    <xf numFmtId="0" fontId="38" fillId="14" borderId="73" xfId="0" applyFont="1" applyFill="1" applyBorder="1" applyAlignment="1">
      <alignment horizontal="left" vertical="center"/>
    </xf>
    <xf numFmtId="0" fontId="31" fillId="14" borderId="73" xfId="0" applyFont="1" applyFill="1" applyBorder="1" applyAlignment="1">
      <alignment horizontal="left" vertical="center"/>
    </xf>
    <xf numFmtId="0" fontId="30" fillId="14" borderId="73" xfId="0" quotePrefix="1" applyFont="1" applyFill="1" applyBorder="1" applyAlignment="1">
      <alignment horizontal="center" vertical="center"/>
    </xf>
    <xf numFmtId="0" fontId="30" fillId="14" borderId="45" xfId="0" applyFont="1" applyFill="1" applyBorder="1" applyAlignment="1">
      <alignment horizontal="left" vertical="center"/>
    </xf>
    <xf numFmtId="0" fontId="34" fillId="0" borderId="52" xfId="0" applyFont="1" applyBorder="1" applyAlignment="1">
      <alignment horizontal="left" vertical="top"/>
    </xf>
    <xf numFmtId="0" fontId="34" fillId="0" borderId="49" xfId="0" applyFont="1" applyBorder="1" applyAlignment="1">
      <alignment horizontal="left" vertical="top"/>
    </xf>
    <xf numFmtId="0" fontId="34" fillId="0" borderId="49" xfId="0" applyFont="1" applyBorder="1" applyAlignment="1">
      <alignment vertical="top"/>
    </xf>
    <xf numFmtId="0" fontId="53" fillId="0" borderId="47" xfId="0" applyFont="1" applyBorder="1" applyAlignment="1">
      <alignment horizontal="left" vertical="center"/>
    </xf>
    <xf numFmtId="0" fontId="53" fillId="0" borderId="50" xfId="0" applyFont="1" applyBorder="1" applyAlignment="1">
      <alignment horizontal="left" vertical="center"/>
    </xf>
    <xf numFmtId="0" fontId="47" fillId="0" borderId="0" xfId="0" applyFont="1" applyAlignment="1">
      <alignment vertical="center"/>
    </xf>
    <xf numFmtId="0" fontId="34" fillId="0" borderId="14" xfId="0" applyFont="1" applyBorder="1" applyAlignment="1">
      <alignment vertical="top"/>
    </xf>
    <xf numFmtId="0" fontId="34" fillId="0" borderId="7" xfId="0" applyFont="1" applyBorder="1" applyAlignment="1">
      <alignment vertical="top"/>
    </xf>
    <xf numFmtId="0" fontId="34" fillId="0" borderId="15" xfId="0" applyFont="1" applyBorder="1" applyAlignment="1">
      <alignment vertical="top"/>
    </xf>
    <xf numFmtId="0" fontId="11" fillId="16" borderId="58" xfId="0" applyFont="1" applyFill="1" applyBorder="1" applyAlignment="1" applyProtection="1">
      <alignment horizontal="center" vertical="center"/>
      <protection locked="0"/>
    </xf>
    <xf numFmtId="0" fontId="11" fillId="16" borderId="59" xfId="0" applyFont="1" applyFill="1" applyBorder="1" applyAlignment="1" applyProtection="1">
      <alignment horizontal="center" vertical="center"/>
      <protection locked="0"/>
    </xf>
    <xf numFmtId="0" fontId="11" fillId="16" borderId="63" xfId="0" applyFont="1" applyFill="1" applyBorder="1" applyAlignment="1" applyProtection="1">
      <alignment horizontal="center" vertical="center"/>
      <protection locked="0"/>
    </xf>
    <xf numFmtId="0" fontId="11" fillId="16" borderId="64" xfId="0" applyFont="1" applyFill="1" applyBorder="1" applyAlignment="1" applyProtection="1">
      <alignment horizontal="center" vertical="center"/>
      <protection locked="0"/>
    </xf>
    <xf numFmtId="0" fontId="15" fillId="13" borderId="52" xfId="0" applyFont="1" applyFill="1" applyBorder="1" applyAlignment="1">
      <alignment horizontal="center" vertical="center"/>
    </xf>
    <xf numFmtId="0" fontId="0" fillId="13" borderId="52" xfId="0" applyFill="1" applyBorder="1" applyAlignment="1">
      <alignment horizontal="center" vertical="center"/>
    </xf>
    <xf numFmtId="0" fontId="0" fillId="13" borderId="61" xfId="0" applyFill="1" applyBorder="1" applyAlignment="1">
      <alignment horizontal="center" vertical="center"/>
    </xf>
    <xf numFmtId="2" fontId="15" fillId="13" borderId="52" xfId="0" applyNumberFormat="1" applyFont="1" applyFill="1" applyBorder="1" applyAlignment="1">
      <alignment horizontal="center" vertical="center"/>
    </xf>
    <xf numFmtId="0" fontId="12" fillId="16" borderId="3" xfId="0" applyFont="1" applyFill="1" applyBorder="1" applyAlignment="1" applyProtection="1">
      <alignment horizontal="center" vertical="center"/>
      <protection locked="0"/>
    </xf>
    <xf numFmtId="0" fontId="0" fillId="16" borderId="0" xfId="0" applyFill="1" applyAlignment="1" applyProtection="1">
      <alignment horizontal="center" vertical="center"/>
      <protection locked="0"/>
    </xf>
    <xf numFmtId="0" fontId="0" fillId="16" borderId="4" xfId="0" applyFill="1" applyBorder="1" applyAlignment="1" applyProtection="1">
      <alignment horizontal="center" vertical="center"/>
      <protection locked="0"/>
    </xf>
    <xf numFmtId="0" fontId="11" fillId="16" borderId="8" xfId="0" applyFont="1" applyFill="1" applyBorder="1" applyAlignment="1" applyProtection="1">
      <alignment horizontal="center" vertical="center"/>
      <protection locked="0"/>
    </xf>
    <xf numFmtId="0" fontId="11" fillId="16" borderId="9" xfId="0" applyFont="1" applyFill="1" applyBorder="1" applyAlignment="1" applyProtection="1">
      <alignment horizontal="center" vertical="center"/>
      <protection locked="0"/>
    </xf>
    <xf numFmtId="0" fontId="11" fillId="16" borderId="17" xfId="0" applyFont="1" applyFill="1" applyBorder="1" applyAlignment="1" applyProtection="1">
      <alignment horizontal="center" vertical="center"/>
      <protection locked="0"/>
    </xf>
    <xf numFmtId="169" fontId="11" fillId="15" borderId="58" xfId="0" applyNumberFormat="1" applyFont="1" applyFill="1" applyBorder="1" applyAlignment="1" applyProtection="1">
      <alignment horizontal="center" vertical="center"/>
      <protection locked="0"/>
    </xf>
    <xf numFmtId="169" fontId="11" fillId="15" borderId="59" xfId="0" applyNumberFormat="1" applyFont="1" applyFill="1" applyBorder="1" applyAlignment="1" applyProtection="1">
      <alignment horizontal="center" vertical="center"/>
      <protection locked="0"/>
    </xf>
    <xf numFmtId="164" fontId="15" fillId="13" borderId="63" xfId="0" applyNumberFormat="1" applyFont="1" applyFill="1" applyBorder="1" applyAlignment="1">
      <alignment horizontal="center" vertical="center"/>
    </xf>
    <xf numFmtId="164" fontId="15" fillId="13" borderId="6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49" fontId="11" fillId="16" borderId="13" xfId="0" applyNumberFormat="1" applyFont="1" applyFill="1" applyBorder="1" applyAlignment="1" applyProtection="1">
      <alignment horizontal="center" vertical="center"/>
      <protection locked="0"/>
    </xf>
    <xf numFmtId="0" fontId="11" fillId="0" borderId="17" xfId="0" applyFont="1" applyBorder="1" applyAlignment="1" applyProtection="1">
      <alignment horizontal="center" vertical="center"/>
      <protection locked="0"/>
    </xf>
    <xf numFmtId="0" fontId="11" fillId="0" borderId="59" xfId="0" applyFont="1" applyBorder="1" applyAlignment="1" applyProtection="1">
      <alignment horizontal="center" vertical="center"/>
      <protection locked="0"/>
    </xf>
    <xf numFmtId="0" fontId="11" fillId="0" borderId="64" xfId="0" applyFont="1" applyBorder="1" applyAlignment="1" applyProtection="1">
      <alignment horizontal="center" vertical="center"/>
      <protection locked="0"/>
    </xf>
    <xf numFmtId="4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0" fillId="2" borderId="18" xfId="0" applyFont="1" applyFill="1" applyBorder="1" applyAlignment="1">
      <alignment horizontal="center" vertical="center" wrapText="1"/>
    </xf>
    <xf numFmtId="0" fontId="20" fillId="2" borderId="27" xfId="0" applyFont="1" applyFill="1" applyBorder="1" applyAlignment="1">
      <alignment horizontal="center" vertical="center" wrapText="1"/>
    </xf>
    <xf numFmtId="0" fontId="20" fillId="2" borderId="17" xfId="0" applyFont="1" applyFill="1" applyBorder="1" applyAlignment="1">
      <alignment horizontal="center" vertical="center" wrapText="1"/>
    </xf>
    <xf numFmtId="0" fontId="11" fillId="13" borderId="18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1" fillId="16" borderId="61" xfId="0" applyFont="1" applyFill="1" applyBorder="1" applyAlignment="1" applyProtection="1">
      <alignment horizontal="center" vertical="center"/>
      <protection locked="0"/>
    </xf>
    <xf numFmtId="2" fontId="11" fillId="13" borderId="60" xfId="0" applyNumberFormat="1" applyFont="1" applyFill="1" applyBorder="1" applyAlignment="1">
      <alignment horizontal="center" vertical="center"/>
    </xf>
    <xf numFmtId="0" fontId="11" fillId="0" borderId="60" xfId="0" applyFont="1" applyBorder="1" applyAlignment="1">
      <alignment horizontal="center" vertical="center"/>
    </xf>
    <xf numFmtId="0" fontId="0" fillId="16" borderId="58" xfId="0" applyFill="1" applyBorder="1" applyAlignment="1" applyProtection="1">
      <alignment horizontal="center" vertical="center"/>
      <protection locked="0"/>
    </xf>
    <xf numFmtId="0" fontId="0" fillId="16" borderId="59" xfId="0" applyFill="1" applyBorder="1" applyAlignment="1" applyProtection="1">
      <alignment horizontal="center" vertical="center"/>
      <protection locked="0"/>
    </xf>
    <xf numFmtId="0" fontId="11" fillId="15" borderId="52" xfId="0" applyFont="1" applyFill="1" applyBorder="1" applyAlignment="1" applyProtection="1">
      <alignment horizontal="center" vertical="center"/>
      <protection locked="0"/>
    </xf>
    <xf numFmtId="0" fontId="11" fillId="15" borderId="61" xfId="0" applyFont="1" applyFill="1" applyBorder="1" applyAlignment="1" applyProtection="1">
      <alignment horizontal="center" vertical="center"/>
      <protection locked="0"/>
    </xf>
    <xf numFmtId="0" fontId="11" fillId="15" borderId="63" xfId="0" applyFont="1" applyFill="1" applyBorder="1" applyAlignment="1" applyProtection="1">
      <alignment horizontal="center" vertical="center"/>
      <protection locked="0"/>
    </xf>
    <xf numFmtId="0" fontId="11" fillId="15" borderId="64" xfId="0" applyFont="1" applyFill="1" applyBorder="1" applyAlignment="1" applyProtection="1">
      <alignment horizontal="center" vertical="center"/>
      <protection locked="0"/>
    </xf>
    <xf numFmtId="0" fontId="20" fillId="2" borderId="18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14" fontId="15" fillId="13" borderId="65" xfId="0" applyNumberFormat="1" applyFont="1" applyFill="1" applyBorder="1" applyAlignment="1">
      <alignment horizontal="center" vertical="center"/>
    </xf>
    <xf numFmtId="0" fontId="15" fillId="13" borderId="65" xfId="0" applyFont="1" applyFill="1" applyBorder="1" applyAlignment="1">
      <alignment horizontal="center" vertical="center"/>
    </xf>
    <xf numFmtId="0" fontId="15" fillId="13" borderId="34" xfId="0" applyFont="1" applyFill="1" applyBorder="1" applyAlignment="1">
      <alignment horizontal="center" vertical="center"/>
    </xf>
    <xf numFmtId="0" fontId="11" fillId="15" borderId="58" xfId="0" applyFont="1" applyFill="1" applyBorder="1" applyAlignment="1" applyProtection="1">
      <alignment horizontal="center" vertical="center"/>
      <protection locked="0"/>
    </xf>
    <xf numFmtId="0" fontId="11" fillId="15" borderId="59" xfId="0" applyFont="1" applyFill="1" applyBorder="1" applyAlignment="1" applyProtection="1">
      <alignment horizontal="center" vertical="center"/>
      <protection locked="0"/>
    </xf>
    <xf numFmtId="0" fontId="29" fillId="15" borderId="63" xfId="1" applyFont="1" applyFill="1" applyBorder="1" applyAlignment="1" applyProtection="1">
      <alignment horizontal="center" vertical="center"/>
      <protection locked="0"/>
    </xf>
    <xf numFmtId="0" fontId="16" fillId="0" borderId="0" xfId="1" applyFont="1" applyFill="1" applyAlignment="1" applyProtection="1">
      <alignment horizontal="center" vertical="center"/>
    </xf>
    <xf numFmtId="0" fontId="10" fillId="0" borderId="0" xfId="1" applyFill="1" applyAlignment="1" applyProtection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7" xfId="0" applyFont="1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15" fillId="13" borderId="2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5" fillId="13" borderId="5" xfId="0" applyFont="1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11" fillId="11" borderId="5" xfId="0" applyFont="1" applyFill="1" applyBorder="1" applyAlignment="1" applyProtection="1">
      <alignment horizontal="center" vertical="center"/>
      <protection locked="0"/>
    </xf>
    <xf numFmtId="0" fontId="11" fillId="11" borderId="4" xfId="0" applyFont="1" applyFill="1" applyBorder="1" applyAlignment="1" applyProtection="1">
      <alignment horizontal="center" vertical="center"/>
      <protection locked="0"/>
    </xf>
    <xf numFmtId="0" fontId="11" fillId="13" borderId="14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 vertical="center"/>
    </xf>
    <xf numFmtId="0" fontId="15" fillId="13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5" fillId="13" borderId="18" xfId="0" applyFont="1" applyFill="1" applyBorder="1" applyAlignment="1">
      <alignment horizontal="center" vertical="center"/>
    </xf>
    <xf numFmtId="0" fontId="11" fillId="5" borderId="18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20" fillId="13" borderId="18" xfId="0" applyFont="1" applyFill="1" applyBorder="1" applyAlignment="1">
      <alignment horizontal="center" vertical="center" wrapText="1"/>
    </xf>
    <xf numFmtId="0" fontId="20" fillId="13" borderId="27" xfId="0" applyFont="1" applyFill="1" applyBorder="1" applyAlignment="1">
      <alignment horizontal="center" vertical="center" wrapText="1"/>
    </xf>
    <xf numFmtId="0" fontId="30" fillId="0" borderId="29" xfId="0" applyFont="1" applyBorder="1" applyAlignment="1">
      <alignment horizontal="center" vertical="center"/>
    </xf>
    <xf numFmtId="0" fontId="30" fillId="0" borderId="47" xfId="0" applyFont="1" applyBorder="1" applyAlignment="1">
      <alignment horizontal="center" vertical="center"/>
    </xf>
    <xf numFmtId="0" fontId="30" fillId="0" borderId="43" xfId="0" applyFont="1" applyBorder="1" applyAlignment="1">
      <alignment horizontal="center" vertical="center"/>
    </xf>
    <xf numFmtId="0" fontId="30" fillId="0" borderId="32" xfId="0" applyFont="1" applyBorder="1" applyAlignment="1">
      <alignment horizontal="center" vertical="center"/>
    </xf>
    <xf numFmtId="0" fontId="30" fillId="0" borderId="29" xfId="0" applyFont="1" applyBorder="1" applyAlignment="1">
      <alignment horizontal="center" vertical="center" wrapText="1"/>
    </xf>
    <xf numFmtId="0" fontId="30" fillId="0" borderId="47" xfId="0" applyFont="1" applyBorder="1" applyAlignment="1">
      <alignment horizontal="center" vertical="center" wrapText="1"/>
    </xf>
    <xf numFmtId="0" fontId="30" fillId="0" borderId="41" xfId="0" applyFont="1" applyBorder="1" applyAlignment="1">
      <alignment horizontal="center" vertical="center"/>
    </xf>
    <xf numFmtId="0" fontId="30" fillId="0" borderId="31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 wrapText="1"/>
    </xf>
    <xf numFmtId="0" fontId="31" fillId="0" borderId="36" xfId="0" applyFont="1" applyBorder="1" applyAlignment="1">
      <alignment horizontal="center" vertical="center" wrapText="1"/>
    </xf>
    <xf numFmtId="0" fontId="31" fillId="0" borderId="76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 wrapText="1"/>
    </xf>
    <xf numFmtId="0" fontId="31" fillId="0" borderId="4" xfId="0" applyFont="1" applyBorder="1" applyAlignment="1">
      <alignment horizontal="center" vertical="center" wrapText="1"/>
    </xf>
    <xf numFmtId="0" fontId="31" fillId="0" borderId="8" xfId="0" applyFont="1" applyBorder="1" applyAlignment="1">
      <alignment horizontal="center" vertical="center" wrapText="1"/>
    </xf>
    <xf numFmtId="0" fontId="31" fillId="0" borderId="9" xfId="0" applyFont="1" applyBorder="1" applyAlignment="1">
      <alignment horizontal="center" vertical="center" wrapText="1"/>
    </xf>
    <xf numFmtId="0" fontId="31" fillId="0" borderId="17" xfId="0" applyFont="1" applyBorder="1" applyAlignment="1">
      <alignment horizontal="center" vertical="center" wrapText="1"/>
    </xf>
    <xf numFmtId="170" fontId="31" fillId="0" borderId="47" xfId="0" applyNumberFormat="1" applyFont="1" applyBorder="1" applyAlignment="1">
      <alignment horizontal="center" vertical="center" wrapText="1"/>
    </xf>
    <xf numFmtId="170" fontId="31" fillId="0" borderId="32" xfId="0" applyNumberFormat="1" applyFont="1" applyBorder="1" applyAlignment="1">
      <alignment horizontal="center" vertical="center" wrapText="1"/>
    </xf>
    <xf numFmtId="0" fontId="31" fillId="0" borderId="31" xfId="0" applyFont="1" applyBorder="1" applyAlignment="1">
      <alignment horizontal="center" vertical="center" wrapText="1"/>
    </xf>
    <xf numFmtId="0" fontId="31" fillId="0" borderId="42" xfId="0" applyFont="1" applyBorder="1" applyAlignment="1">
      <alignment horizontal="center" vertical="center" wrapText="1"/>
    </xf>
    <xf numFmtId="0" fontId="31" fillId="0" borderId="47" xfId="0" applyFont="1" applyBorder="1" applyAlignment="1">
      <alignment horizontal="center" vertical="center" wrapText="1"/>
    </xf>
    <xf numFmtId="0" fontId="31" fillId="0" borderId="51" xfId="0" applyFont="1" applyBorder="1" applyAlignment="1">
      <alignment horizontal="center" vertical="center" wrapText="1"/>
    </xf>
    <xf numFmtId="170" fontId="31" fillId="0" borderId="31" xfId="0" applyNumberFormat="1" applyFont="1" applyBorder="1" applyAlignment="1">
      <alignment horizontal="center" vertical="center" wrapText="1"/>
    </xf>
    <xf numFmtId="0" fontId="31" fillId="0" borderId="32" xfId="0" applyFont="1" applyBorder="1" applyAlignment="1">
      <alignment horizontal="center" vertical="center" wrapText="1"/>
    </xf>
    <xf numFmtId="0" fontId="31" fillId="0" borderId="44" xfId="0" applyFont="1" applyBorder="1" applyAlignment="1">
      <alignment horizontal="center" vertical="center" wrapText="1"/>
    </xf>
    <xf numFmtId="0" fontId="31" fillId="0" borderId="47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1" fillId="0" borderId="42" xfId="0" applyFont="1" applyBorder="1" applyAlignment="1">
      <alignment horizontal="center" vertical="center"/>
    </xf>
    <xf numFmtId="0" fontId="30" fillId="8" borderId="80" xfId="0" applyFont="1" applyFill="1" applyBorder="1" applyAlignment="1">
      <alignment horizontal="center" vertical="center"/>
    </xf>
    <xf numFmtId="0" fontId="30" fillId="8" borderId="7" xfId="0" applyFont="1" applyFill="1" applyBorder="1" applyAlignment="1">
      <alignment horizontal="center" vertical="center"/>
    </xf>
    <xf numFmtId="0" fontId="30" fillId="8" borderId="79" xfId="0" applyFont="1" applyFill="1" applyBorder="1" applyAlignment="1">
      <alignment horizontal="center" vertical="center"/>
    </xf>
    <xf numFmtId="0" fontId="30" fillId="8" borderId="72" xfId="0" applyFont="1" applyFill="1" applyBorder="1" applyAlignment="1">
      <alignment horizontal="center" vertical="center"/>
    </xf>
    <xf numFmtId="0" fontId="30" fillId="8" borderId="73" xfId="0" applyFont="1" applyFill="1" applyBorder="1" applyAlignment="1">
      <alignment horizontal="center" vertical="center"/>
    </xf>
    <xf numFmtId="0" fontId="30" fillId="8" borderId="45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47" xfId="0" applyFont="1" applyBorder="1" applyAlignment="1">
      <alignment horizontal="center" vertical="center"/>
    </xf>
    <xf numFmtId="0" fontId="47" fillId="0" borderId="47" xfId="0" applyFont="1" applyBorder="1" applyAlignment="1">
      <alignment horizontal="center" vertical="center"/>
    </xf>
    <xf numFmtId="0" fontId="47" fillId="0" borderId="51" xfId="0" applyFont="1" applyBorder="1" applyAlignment="1">
      <alignment horizontal="center" vertical="center"/>
    </xf>
    <xf numFmtId="0" fontId="47" fillId="0" borderId="32" xfId="0" applyFont="1" applyBorder="1" applyAlignment="1">
      <alignment horizontal="center" vertical="center"/>
    </xf>
    <xf numFmtId="0" fontId="47" fillId="0" borderId="44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43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40" fillId="0" borderId="48" xfId="0" applyFont="1" applyBorder="1" applyAlignment="1">
      <alignment horizontal="right" vertical="center"/>
    </xf>
    <xf numFmtId="0" fontId="40" fillId="0" borderId="50" xfId="0" applyFont="1" applyBorder="1" applyAlignment="1">
      <alignment horizontal="right" vertical="center"/>
    </xf>
    <xf numFmtId="0" fontId="30" fillId="0" borderId="48" xfId="0" applyFont="1" applyBorder="1" applyAlignment="1">
      <alignment horizontal="right" vertical="center"/>
    </xf>
    <xf numFmtId="0" fontId="30" fillId="0" borderId="50" xfId="0" applyFont="1" applyBorder="1" applyAlignment="1">
      <alignment horizontal="right" vertical="center"/>
    </xf>
    <xf numFmtId="0" fontId="31" fillId="14" borderId="37" xfId="0" applyFont="1" applyFill="1" applyBorder="1" applyAlignment="1">
      <alignment horizontal="center" vertical="center"/>
    </xf>
    <xf numFmtId="0" fontId="31" fillId="14" borderId="36" xfId="0" applyFont="1" applyFill="1" applyBorder="1" applyAlignment="1">
      <alignment horizontal="center" vertical="center"/>
    </xf>
    <xf numFmtId="0" fontId="31" fillId="14" borderId="71" xfId="0" applyFont="1" applyFill="1" applyBorder="1" applyAlignment="1">
      <alignment horizontal="center" vertical="center"/>
    </xf>
    <xf numFmtId="0" fontId="31" fillId="14" borderId="72" xfId="0" applyFont="1" applyFill="1" applyBorder="1" applyAlignment="1">
      <alignment horizontal="center" vertical="center"/>
    </xf>
    <xf numFmtId="0" fontId="31" fillId="14" borderId="73" xfId="0" applyFont="1" applyFill="1" applyBorder="1" applyAlignment="1">
      <alignment horizontal="center" vertical="center"/>
    </xf>
    <xf numFmtId="0" fontId="31" fillId="14" borderId="45" xfId="0" applyFont="1" applyFill="1" applyBorder="1" applyAlignment="1">
      <alignment horizontal="center" vertical="center"/>
    </xf>
    <xf numFmtId="0" fontId="30" fillId="14" borderId="10" xfId="0" applyFont="1" applyFill="1" applyBorder="1" applyAlignment="1">
      <alignment horizontal="center" vertical="center"/>
    </xf>
    <xf numFmtId="0" fontId="30" fillId="14" borderId="70" xfId="0" applyFont="1" applyFill="1" applyBorder="1" applyAlignment="1">
      <alignment horizontal="center" vertical="center"/>
    </xf>
    <xf numFmtId="0" fontId="31" fillId="0" borderId="80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7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69" xfId="0" applyFont="1" applyBorder="1" applyAlignment="1">
      <alignment horizontal="center" vertical="center"/>
    </xf>
    <xf numFmtId="0" fontId="31" fillId="0" borderId="72" xfId="0" applyFont="1" applyBorder="1" applyAlignment="1">
      <alignment horizontal="center" vertical="center"/>
    </xf>
    <xf numFmtId="0" fontId="31" fillId="0" borderId="73" xfId="0" applyFont="1" applyBorder="1" applyAlignment="1">
      <alignment horizontal="center" vertical="center"/>
    </xf>
    <xf numFmtId="0" fontId="31" fillId="0" borderId="45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0" fontId="30" fillId="0" borderId="71" xfId="0" applyFont="1" applyBorder="1" applyAlignment="1">
      <alignment horizontal="center" vertical="center"/>
    </xf>
    <xf numFmtId="0" fontId="30" fillId="0" borderId="72" xfId="0" applyFont="1" applyBorder="1" applyAlignment="1">
      <alignment horizontal="center" vertical="center"/>
    </xf>
    <xf numFmtId="0" fontId="30" fillId="0" borderId="73" xfId="0" applyFont="1" applyBorder="1" applyAlignment="1">
      <alignment horizontal="center" vertical="center"/>
    </xf>
    <xf numFmtId="0" fontId="30" fillId="0" borderId="45" xfId="0" applyFont="1" applyBorder="1" applyAlignment="1">
      <alignment horizontal="center" vertical="center"/>
    </xf>
    <xf numFmtId="0" fontId="30" fillId="0" borderId="47" xfId="0" applyFont="1" applyBorder="1" applyAlignment="1">
      <alignment horizontal="right" vertical="center"/>
    </xf>
    <xf numFmtId="0" fontId="42" fillId="14" borderId="48" xfId="0" applyFont="1" applyFill="1" applyBorder="1" applyAlignment="1">
      <alignment horizontal="center" vertical="center" wrapText="1"/>
    </xf>
    <xf numFmtId="0" fontId="42" fillId="14" borderId="49" xfId="0" applyFont="1" applyFill="1" applyBorder="1" applyAlignment="1">
      <alignment horizontal="center" vertical="center" wrapText="1"/>
    </xf>
    <xf numFmtId="0" fontId="42" fillId="14" borderId="50" xfId="0" applyFont="1" applyFill="1" applyBorder="1" applyAlignment="1">
      <alignment horizontal="center" vertical="center" wrapText="1"/>
    </xf>
    <xf numFmtId="0" fontId="54" fillId="14" borderId="48" xfId="0" applyFont="1" applyFill="1" applyBorder="1" applyAlignment="1">
      <alignment horizontal="center" vertical="center"/>
    </xf>
    <xf numFmtId="0" fontId="54" fillId="14" borderId="50" xfId="0" applyFont="1" applyFill="1" applyBorder="1" applyAlignment="1">
      <alignment horizontal="center" vertical="center"/>
    </xf>
    <xf numFmtId="0" fontId="34" fillId="0" borderId="37" xfId="0" applyFont="1" applyBorder="1" applyAlignment="1">
      <alignment horizontal="left" vertical="top"/>
    </xf>
    <xf numFmtId="0" fontId="34" fillId="0" borderId="36" xfId="0" applyFont="1" applyBorder="1" applyAlignment="1">
      <alignment horizontal="left" vertical="top"/>
    </xf>
    <xf numFmtId="0" fontId="34" fillId="0" borderId="71" xfId="0" applyFont="1" applyBorder="1" applyAlignment="1">
      <alignment horizontal="left" vertical="top"/>
    </xf>
    <xf numFmtId="0" fontId="34" fillId="0" borderId="3" xfId="0" applyFont="1" applyBorder="1" applyAlignment="1">
      <alignment horizontal="left" vertical="top"/>
    </xf>
    <xf numFmtId="0" fontId="34" fillId="0" borderId="0" xfId="0" applyFont="1" applyAlignment="1">
      <alignment horizontal="left" vertical="top"/>
    </xf>
    <xf numFmtId="0" fontId="34" fillId="0" borderId="69" xfId="0" applyFont="1" applyBorder="1" applyAlignment="1">
      <alignment horizontal="left" vertical="top"/>
    </xf>
    <xf numFmtId="0" fontId="34" fillId="0" borderId="72" xfId="0" applyFont="1" applyBorder="1" applyAlignment="1">
      <alignment horizontal="left" vertical="top"/>
    </xf>
    <xf numFmtId="0" fontId="34" fillId="0" borderId="73" xfId="0" applyFont="1" applyBorder="1" applyAlignment="1">
      <alignment horizontal="left" vertical="top"/>
    </xf>
    <xf numFmtId="0" fontId="34" fillId="0" borderId="45" xfId="0" applyFont="1" applyBorder="1" applyAlignment="1">
      <alignment horizontal="left" vertical="top"/>
    </xf>
    <xf numFmtId="0" fontId="30" fillId="0" borderId="48" xfId="0" applyFont="1" applyBorder="1" applyAlignment="1">
      <alignment horizontal="center" vertical="center"/>
    </xf>
    <xf numFmtId="0" fontId="30" fillId="0" borderId="49" xfId="0" applyFont="1" applyBorder="1" applyAlignment="1">
      <alignment horizontal="center" vertical="center"/>
    </xf>
    <xf numFmtId="0" fontId="30" fillId="0" borderId="37" xfId="0" applyFont="1" applyBorder="1" applyAlignment="1">
      <alignment horizontal="left" vertical="center" wrapText="1"/>
    </xf>
    <xf numFmtId="0" fontId="30" fillId="0" borderId="36" xfId="0" applyFont="1" applyBorder="1" applyAlignment="1">
      <alignment horizontal="left" vertical="center" wrapText="1"/>
    </xf>
    <xf numFmtId="0" fontId="30" fillId="0" borderId="71" xfId="0" applyFont="1" applyBorder="1" applyAlignment="1">
      <alignment horizontal="left" vertical="center" wrapText="1"/>
    </xf>
    <xf numFmtId="0" fontId="30" fillId="0" borderId="72" xfId="0" applyFont="1" applyBorder="1" applyAlignment="1">
      <alignment horizontal="left" vertical="center" wrapText="1"/>
    </xf>
    <xf numFmtId="0" fontId="30" fillId="0" borderId="73" xfId="0" applyFont="1" applyBorder="1" applyAlignment="1">
      <alignment horizontal="left" vertical="center" wrapText="1"/>
    </xf>
    <xf numFmtId="0" fontId="30" fillId="0" borderId="45" xfId="0" applyFont="1" applyBorder="1" applyAlignment="1">
      <alignment horizontal="left" vertical="center" wrapText="1"/>
    </xf>
    <xf numFmtId="0" fontId="30" fillId="0" borderId="50" xfId="0" applyFont="1" applyBorder="1" applyAlignment="1">
      <alignment horizontal="center" vertical="center"/>
    </xf>
    <xf numFmtId="0" fontId="30" fillId="0" borderId="47" xfId="0" applyFont="1" applyBorder="1" applyAlignment="1">
      <alignment horizontal="left" vertical="center"/>
    </xf>
    <xf numFmtId="0" fontId="31" fillId="14" borderId="47" xfId="0" applyFont="1" applyFill="1" applyBorder="1" applyAlignment="1">
      <alignment horizontal="left" vertical="center"/>
    </xf>
    <xf numFmtId="0" fontId="30" fillId="0" borderId="39" xfId="0" applyFont="1" applyBorder="1" applyAlignment="1">
      <alignment horizontal="center" vertical="center"/>
    </xf>
    <xf numFmtId="0" fontId="30" fillId="0" borderId="81" xfId="0" applyFont="1" applyBorder="1" applyAlignment="1">
      <alignment horizontal="center" vertical="center"/>
    </xf>
    <xf numFmtId="0" fontId="30" fillId="0" borderId="82" xfId="0" applyFont="1" applyBorder="1" applyAlignment="1">
      <alignment horizontal="center" vertical="center"/>
    </xf>
    <xf numFmtId="0" fontId="30" fillId="0" borderId="84" xfId="0" applyFont="1" applyBorder="1" applyAlignment="1">
      <alignment horizontal="center" vertical="center"/>
    </xf>
    <xf numFmtId="0" fontId="30" fillId="0" borderId="74" xfId="0" applyFont="1" applyBorder="1" applyAlignment="1">
      <alignment horizontal="center" vertical="center"/>
    </xf>
    <xf numFmtId="170" fontId="31" fillId="0" borderId="37" xfId="0" applyNumberFormat="1" applyFont="1" applyBorder="1" applyAlignment="1">
      <alignment horizontal="center" vertical="center" wrapText="1"/>
    </xf>
    <xf numFmtId="170" fontId="31" fillId="0" borderId="36" xfId="0" applyNumberFormat="1" applyFont="1" applyBorder="1" applyAlignment="1">
      <alignment horizontal="center" vertical="center" wrapText="1"/>
    </xf>
    <xf numFmtId="170" fontId="31" fillId="0" borderId="71" xfId="0" applyNumberFormat="1" applyFont="1" applyBorder="1" applyAlignment="1">
      <alignment horizontal="center" vertical="center" wrapText="1"/>
    </xf>
    <xf numFmtId="170" fontId="31" fillId="0" borderId="3" xfId="0" applyNumberFormat="1" applyFont="1" applyBorder="1" applyAlignment="1">
      <alignment horizontal="center" vertical="center" wrapText="1"/>
    </xf>
    <xf numFmtId="170" fontId="31" fillId="0" borderId="0" xfId="0" applyNumberFormat="1" applyFont="1" applyAlignment="1">
      <alignment horizontal="center" vertical="center" wrapText="1"/>
    </xf>
    <xf numFmtId="170" fontId="31" fillId="0" borderId="69" xfId="0" applyNumberFormat="1" applyFont="1" applyBorder="1" applyAlignment="1">
      <alignment horizontal="center" vertical="center" wrapText="1"/>
    </xf>
    <xf numFmtId="170" fontId="31" fillId="0" borderId="8" xfId="0" applyNumberFormat="1" applyFont="1" applyBorder="1" applyAlignment="1">
      <alignment horizontal="center" vertical="center" wrapText="1"/>
    </xf>
    <xf numFmtId="170" fontId="31" fillId="0" borderId="9" xfId="0" applyNumberFormat="1" applyFont="1" applyBorder="1" applyAlignment="1">
      <alignment horizontal="center" vertical="center" wrapText="1"/>
    </xf>
    <xf numFmtId="170" fontId="31" fillId="0" borderId="83" xfId="0" applyNumberFormat="1" applyFont="1" applyBorder="1" applyAlignment="1">
      <alignment horizontal="center" vertical="center" wrapText="1"/>
    </xf>
    <xf numFmtId="0" fontId="31" fillId="14" borderId="47" xfId="0" applyFont="1" applyFill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76" xfId="0" applyFont="1" applyBorder="1" applyAlignment="1">
      <alignment horizontal="center" vertical="center"/>
    </xf>
    <xf numFmtId="0" fontId="31" fillId="0" borderId="4" xfId="0" applyFont="1" applyBorder="1" applyAlignment="1">
      <alignment horizontal="center" vertical="center"/>
    </xf>
    <xf numFmtId="0" fontId="48" fillId="0" borderId="80" xfId="0" applyFont="1" applyBorder="1" applyAlignment="1">
      <alignment horizontal="center" vertical="center"/>
    </xf>
    <xf numFmtId="0" fontId="48" fillId="0" borderId="7" xfId="0" applyFont="1" applyBorder="1" applyAlignment="1">
      <alignment horizontal="center" vertical="center"/>
    </xf>
    <xf numFmtId="0" fontId="48" fillId="0" borderId="79" xfId="0" applyFont="1" applyBorder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69" xfId="0" applyFont="1" applyBorder="1" applyAlignment="1">
      <alignment horizontal="center" vertical="center"/>
    </xf>
    <xf numFmtId="0" fontId="48" fillId="0" borderId="72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5" xfId="0" applyFont="1" applyBorder="1" applyAlignment="1">
      <alignment horizontal="center" vertical="center"/>
    </xf>
    <xf numFmtId="0" fontId="30" fillId="0" borderId="37" xfId="0" applyFont="1" applyBorder="1" applyAlignment="1">
      <alignment horizontal="left" vertical="center"/>
    </xf>
    <xf numFmtId="0" fontId="30" fillId="0" borderId="36" xfId="0" applyFont="1" applyBorder="1" applyAlignment="1">
      <alignment horizontal="left" vertical="center"/>
    </xf>
    <xf numFmtId="0" fontId="30" fillId="0" borderId="71" xfId="0" applyFont="1" applyBorder="1" applyAlignment="1">
      <alignment horizontal="left" vertical="center"/>
    </xf>
    <xf numFmtId="0" fontId="30" fillId="0" borderId="3" xfId="0" applyFont="1" applyBorder="1" applyAlignment="1">
      <alignment horizontal="left" vertical="center"/>
    </xf>
    <xf numFmtId="0" fontId="30" fillId="0" borderId="0" xfId="0" applyFont="1" applyAlignment="1">
      <alignment horizontal="left" vertical="center"/>
    </xf>
    <xf numFmtId="0" fontId="30" fillId="0" borderId="69" xfId="0" applyFont="1" applyBorder="1" applyAlignment="1">
      <alignment horizontal="left" vertical="center"/>
    </xf>
    <xf numFmtId="0" fontId="30" fillId="0" borderId="8" xfId="0" applyFont="1" applyBorder="1" applyAlignment="1">
      <alignment horizontal="left" vertical="center"/>
    </xf>
    <xf numFmtId="0" fontId="30" fillId="0" borderId="9" xfId="0" applyFont="1" applyBorder="1" applyAlignment="1">
      <alignment horizontal="left" vertical="center"/>
    </xf>
    <xf numFmtId="0" fontId="30" fillId="0" borderId="83" xfId="0" applyFont="1" applyBorder="1" applyAlignment="1">
      <alignment horizontal="left" vertical="center"/>
    </xf>
    <xf numFmtId="0" fontId="30" fillId="0" borderId="40" xfId="0" applyFont="1" applyBorder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/>
    </xf>
    <xf numFmtId="170" fontId="31" fillId="0" borderId="80" xfId="0" applyNumberFormat="1" applyFont="1" applyBorder="1" applyAlignment="1">
      <alignment horizontal="center" vertical="center"/>
    </xf>
    <xf numFmtId="170" fontId="31" fillId="0" borderId="7" xfId="0" applyNumberFormat="1" applyFont="1" applyBorder="1" applyAlignment="1">
      <alignment horizontal="center" vertical="center"/>
    </xf>
    <xf numFmtId="170" fontId="31" fillId="0" borderId="79" xfId="0" applyNumberFormat="1" applyFont="1" applyBorder="1" applyAlignment="1">
      <alignment horizontal="center" vertical="center"/>
    </xf>
    <xf numFmtId="170" fontId="31" fillId="0" borderId="3" xfId="0" applyNumberFormat="1" applyFont="1" applyBorder="1" applyAlignment="1">
      <alignment horizontal="center" vertical="center"/>
    </xf>
    <xf numFmtId="170" fontId="31" fillId="0" borderId="0" xfId="0" applyNumberFormat="1" applyFont="1" applyAlignment="1">
      <alignment horizontal="center" vertical="center"/>
    </xf>
    <xf numFmtId="170" fontId="31" fillId="0" borderId="69" xfId="0" applyNumberFormat="1" applyFont="1" applyBorder="1" applyAlignment="1">
      <alignment horizontal="center" vertical="center"/>
    </xf>
    <xf numFmtId="170" fontId="31" fillId="0" borderId="72" xfId="0" applyNumberFormat="1" applyFont="1" applyBorder="1" applyAlignment="1">
      <alignment horizontal="center" vertical="center"/>
    </xf>
    <xf numFmtId="170" fontId="31" fillId="0" borderId="73" xfId="0" applyNumberFormat="1" applyFont="1" applyBorder="1" applyAlignment="1">
      <alignment horizontal="center" vertical="center"/>
    </xf>
    <xf numFmtId="170" fontId="31" fillId="0" borderId="45" xfId="0" applyNumberFormat="1" applyFont="1" applyBorder="1" applyAlignment="1">
      <alignment horizontal="center" vertical="center"/>
    </xf>
    <xf numFmtId="0" fontId="31" fillId="0" borderId="78" xfId="0" applyFont="1" applyBorder="1" applyAlignment="1">
      <alignment horizontal="center" vertical="center"/>
    </xf>
    <xf numFmtId="0" fontId="45" fillId="20" borderId="14" xfId="0" applyFont="1" applyFill="1" applyBorder="1" applyAlignment="1">
      <alignment horizontal="center" vertical="center"/>
    </xf>
    <xf numFmtId="0" fontId="45" fillId="20" borderId="7" xfId="0" applyFont="1" applyFill="1" applyBorder="1" applyAlignment="1">
      <alignment horizontal="center" vertical="center"/>
    </xf>
    <xf numFmtId="0" fontId="45" fillId="20" borderId="15" xfId="0" applyFont="1" applyFill="1" applyBorder="1" applyAlignment="1">
      <alignment horizontal="center" vertical="center"/>
    </xf>
    <xf numFmtId="0" fontId="45" fillId="20" borderId="13" xfId="0" applyFont="1" applyFill="1" applyBorder="1" applyAlignment="1">
      <alignment horizontal="center" vertical="center"/>
    </xf>
    <xf numFmtId="0" fontId="45" fillId="20" borderId="9" xfId="0" applyFont="1" applyFill="1" applyBorder="1" applyAlignment="1">
      <alignment horizontal="center" vertical="center"/>
    </xf>
    <xf numFmtId="0" fontId="45" fillId="20" borderId="17" xfId="0" applyFont="1" applyFill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7" xfId="0" applyFont="1" applyBorder="1" applyAlignment="1">
      <alignment horizontal="center" vertical="center"/>
    </xf>
    <xf numFmtId="0" fontId="31" fillId="0" borderId="10" xfId="0" applyFont="1" applyBorder="1" applyAlignment="1">
      <alignment horizontal="center" vertical="center"/>
    </xf>
    <xf numFmtId="0" fontId="31" fillId="14" borderId="70" xfId="0" applyFont="1" applyFill="1" applyBorder="1" applyAlignment="1">
      <alignment horizontal="center" vertical="center"/>
    </xf>
    <xf numFmtId="0" fontId="31" fillId="14" borderId="14" xfId="0" applyFont="1" applyFill="1" applyBorder="1" applyAlignment="1">
      <alignment horizontal="center" vertical="center"/>
    </xf>
    <xf numFmtId="0" fontId="31" fillId="14" borderId="7" xfId="0" applyFont="1" applyFill="1" applyBorder="1" applyAlignment="1">
      <alignment horizontal="center" vertical="center"/>
    </xf>
    <xf numFmtId="0" fontId="31" fillId="14" borderId="15" xfId="0" applyFont="1" applyFill="1" applyBorder="1" applyAlignment="1">
      <alignment horizontal="center" vertical="center"/>
    </xf>
    <xf numFmtId="0" fontId="31" fillId="14" borderId="13" xfId="0" applyFont="1" applyFill="1" applyBorder="1" applyAlignment="1">
      <alignment horizontal="center" vertical="center"/>
    </xf>
    <xf numFmtId="0" fontId="31" fillId="14" borderId="9" xfId="0" applyFont="1" applyFill="1" applyBorder="1" applyAlignment="1">
      <alignment horizontal="center" vertical="center"/>
    </xf>
    <xf numFmtId="0" fontId="31" fillId="14" borderId="17" xfId="0" applyFont="1" applyFill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27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79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69" xfId="0" applyFont="1" applyBorder="1" applyAlignment="1">
      <alignment horizontal="center" vertical="center"/>
    </xf>
    <xf numFmtId="0" fontId="30" fillId="0" borderId="77" xfId="0" applyFont="1" applyBorder="1" applyAlignment="1">
      <alignment horizontal="center" vertical="center"/>
    </xf>
    <xf numFmtId="0" fontId="30" fillId="0" borderId="75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 vertical="center"/>
    </xf>
    <xf numFmtId="0" fontId="30" fillId="0" borderId="9" xfId="0" applyFont="1" applyBorder="1" applyAlignment="1">
      <alignment horizontal="center" vertical="center"/>
    </xf>
    <xf numFmtId="0" fontId="30" fillId="0" borderId="83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42" fillId="0" borderId="0" xfId="0" quotePrefix="1" applyFont="1" applyAlignment="1">
      <alignment horizontal="left" vertical="center" wrapText="1"/>
    </xf>
    <xf numFmtId="0" fontId="31" fillId="0" borderId="15" xfId="0" applyFont="1" applyBorder="1" applyAlignment="1">
      <alignment horizontal="center" vertical="center"/>
    </xf>
    <xf numFmtId="0" fontId="50" fillId="11" borderId="14" xfId="0" applyFont="1" applyFill="1" applyBorder="1" applyAlignment="1">
      <alignment horizontal="center" vertical="center" wrapText="1"/>
    </xf>
    <xf numFmtId="0" fontId="50" fillId="11" borderId="7" xfId="0" applyFont="1" applyFill="1" applyBorder="1" applyAlignment="1">
      <alignment horizontal="center" vertical="center" wrapText="1"/>
    </xf>
    <xf numFmtId="0" fontId="50" fillId="11" borderId="15" xfId="0" applyFont="1" applyFill="1" applyBorder="1" applyAlignment="1">
      <alignment horizontal="center" vertical="center" wrapText="1"/>
    </xf>
    <xf numFmtId="0" fontId="50" fillId="11" borderId="5" xfId="0" applyFont="1" applyFill="1" applyBorder="1" applyAlignment="1">
      <alignment horizontal="center" vertical="center" wrapText="1"/>
    </xf>
    <xf numFmtId="0" fontId="50" fillId="11" borderId="0" xfId="0" applyFont="1" applyFill="1" applyAlignment="1">
      <alignment horizontal="center" vertical="center" wrapText="1"/>
    </xf>
    <xf numFmtId="0" fontId="50" fillId="11" borderId="4" xfId="0" applyFont="1" applyFill="1" applyBorder="1" applyAlignment="1">
      <alignment horizontal="center" vertical="center" wrapText="1"/>
    </xf>
    <xf numFmtId="0" fontId="50" fillId="11" borderId="13" xfId="0" applyFont="1" applyFill="1" applyBorder="1" applyAlignment="1">
      <alignment horizontal="center" vertical="center" wrapText="1"/>
    </xf>
    <xf numFmtId="0" fontId="50" fillId="11" borderId="9" xfId="0" applyFont="1" applyFill="1" applyBorder="1" applyAlignment="1">
      <alignment horizontal="center" vertical="center" wrapText="1"/>
    </xf>
    <xf numFmtId="0" fontId="50" fillId="11" borderId="17" xfId="0" applyFont="1" applyFill="1" applyBorder="1" applyAlignment="1">
      <alignment horizontal="center" vertical="center" wrapText="1"/>
    </xf>
    <xf numFmtId="0" fontId="31" fillId="0" borderId="70" xfId="0" applyFont="1" applyBorder="1" applyAlignment="1">
      <alignment horizontal="center" vertical="center"/>
    </xf>
    <xf numFmtId="0" fontId="49" fillId="0" borderId="70" xfId="0" applyFont="1" applyBorder="1" applyAlignment="1">
      <alignment horizontal="center" vertical="center"/>
    </xf>
    <xf numFmtId="0" fontId="45" fillId="19" borderId="70" xfId="0" applyFont="1" applyFill="1" applyBorder="1" applyAlignment="1">
      <alignment horizontal="center" vertical="center"/>
    </xf>
    <xf numFmtId="0" fontId="49" fillId="0" borderId="7" xfId="0" applyFont="1" applyBorder="1" applyAlignment="1">
      <alignment horizontal="center" vertical="center"/>
    </xf>
    <xf numFmtId="0" fontId="49" fillId="0" borderId="15" xfId="0" applyFont="1" applyBorder="1" applyAlignment="1">
      <alignment horizontal="center" vertical="center"/>
    </xf>
    <xf numFmtId="0" fontId="49" fillId="0" borderId="0" xfId="0" applyFont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9" xfId="0" applyFont="1" applyBorder="1" applyAlignment="1">
      <alignment horizontal="center" vertical="center"/>
    </xf>
    <xf numFmtId="0" fontId="49" fillId="0" borderId="17" xfId="0" applyFont="1" applyBorder="1" applyAlignment="1">
      <alignment horizontal="center" vertical="center"/>
    </xf>
    <xf numFmtId="0" fontId="50" fillId="0" borderId="31" xfId="0" applyFont="1" applyBorder="1" applyAlignment="1">
      <alignment horizontal="center" vertical="center"/>
    </xf>
    <xf numFmtId="0" fontId="50" fillId="0" borderId="42" xfId="0" applyFont="1" applyBorder="1" applyAlignment="1">
      <alignment horizontal="center" vertical="center"/>
    </xf>
    <xf numFmtId="0" fontId="50" fillId="0" borderId="47" xfId="0" applyFont="1" applyBorder="1" applyAlignment="1">
      <alignment horizontal="center" vertical="center"/>
    </xf>
    <xf numFmtId="0" fontId="50" fillId="0" borderId="51" xfId="0" applyFont="1" applyBorder="1" applyAlignment="1">
      <alignment horizontal="center" vertical="center"/>
    </xf>
    <xf numFmtId="0" fontId="31" fillId="14" borderId="48" xfId="0" applyFont="1" applyFill="1" applyBorder="1" applyAlignment="1">
      <alignment horizontal="center" vertical="center"/>
    </xf>
    <xf numFmtId="0" fontId="31" fillId="14" borderId="49" xfId="0" applyFont="1" applyFill="1" applyBorder="1" applyAlignment="1">
      <alignment horizontal="center" vertical="center"/>
    </xf>
    <xf numFmtId="0" fontId="31" fillId="14" borderId="50" xfId="0" applyFont="1" applyFill="1" applyBorder="1" applyAlignment="1">
      <alignment horizontal="center" vertical="center"/>
    </xf>
    <xf numFmtId="0" fontId="31" fillId="0" borderId="71" xfId="0" applyFont="1" applyBorder="1" applyAlignment="1">
      <alignment horizontal="center" vertical="center" wrapText="1"/>
    </xf>
    <xf numFmtId="0" fontId="31" fillId="0" borderId="72" xfId="0" applyFont="1" applyBorder="1" applyAlignment="1">
      <alignment horizontal="center" vertical="center" wrapText="1"/>
    </xf>
    <xf numFmtId="0" fontId="31" fillId="0" borderId="73" xfId="0" applyFont="1" applyBorder="1" applyAlignment="1">
      <alignment horizontal="center" vertical="center" wrapText="1"/>
    </xf>
    <xf numFmtId="0" fontId="31" fillId="0" borderId="45" xfId="0" applyFont="1" applyBorder="1" applyAlignment="1">
      <alignment horizontal="center" vertical="center" wrapText="1"/>
    </xf>
    <xf numFmtId="0" fontId="31" fillId="0" borderId="71" xfId="0" applyFont="1" applyBorder="1" applyAlignment="1">
      <alignment horizontal="center" vertical="center"/>
    </xf>
    <xf numFmtId="0" fontId="31" fillId="0" borderId="41" xfId="0" applyFont="1" applyBorder="1" applyAlignment="1">
      <alignment horizontal="center" vertical="center"/>
    </xf>
    <xf numFmtId="0" fontId="36" fillId="0" borderId="72" xfId="0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45" xfId="0" applyFont="1" applyBorder="1" applyAlignment="1">
      <alignment horizontal="center" vertical="center"/>
    </xf>
    <xf numFmtId="0" fontId="54" fillId="14" borderId="47" xfId="0" applyFont="1" applyFill="1" applyBorder="1" applyAlignment="1">
      <alignment horizontal="center" vertical="center"/>
    </xf>
    <xf numFmtId="0" fontId="42" fillId="14" borderId="47" xfId="0" applyFont="1" applyFill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30" fillId="0" borderId="71" xfId="0" applyFont="1" applyBorder="1" applyAlignment="1">
      <alignment horizontal="center" vertical="center" wrapText="1"/>
    </xf>
    <xf numFmtId="0" fontId="30" fillId="0" borderId="72" xfId="0" applyFont="1" applyBorder="1" applyAlignment="1">
      <alignment horizontal="center" vertical="center" wrapText="1"/>
    </xf>
    <xf numFmtId="0" fontId="30" fillId="0" borderId="45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30" fillId="0" borderId="73" xfId="0" applyFont="1" applyBorder="1" applyAlignment="1">
      <alignment horizontal="center" vertical="center" wrapText="1"/>
    </xf>
    <xf numFmtId="0" fontId="55" fillId="0" borderId="26" xfId="0" applyFont="1" applyBorder="1" applyAlignment="1">
      <alignment horizontal="center" vertical="center"/>
    </xf>
    <xf numFmtId="0" fontId="55" fillId="0" borderId="46" xfId="0" applyFont="1" applyBorder="1" applyAlignment="1">
      <alignment horizontal="center" vertical="center"/>
    </xf>
    <xf numFmtId="0" fontId="52" fillId="14" borderId="48" xfId="0" applyFont="1" applyFill="1" applyBorder="1" applyAlignment="1">
      <alignment horizontal="center" vertical="center"/>
    </xf>
    <xf numFmtId="0" fontId="52" fillId="14" borderId="49" xfId="0" applyFont="1" applyFill="1" applyBorder="1" applyAlignment="1">
      <alignment horizontal="center" vertical="center"/>
    </xf>
    <xf numFmtId="0" fontId="52" fillId="14" borderId="50" xfId="0" applyFont="1" applyFill="1" applyBorder="1" applyAlignment="1">
      <alignment horizontal="center" vertical="center"/>
    </xf>
    <xf numFmtId="0" fontId="55" fillId="0" borderId="37" xfId="0" applyFont="1" applyBorder="1" applyAlignment="1">
      <alignment horizontal="center" vertical="center"/>
    </xf>
    <xf numFmtId="0" fontId="55" fillId="0" borderId="71" xfId="0" applyFont="1" applyBorder="1" applyAlignment="1">
      <alignment horizontal="center" vertical="center"/>
    </xf>
    <xf numFmtId="0" fontId="55" fillId="0" borderId="72" xfId="0" applyFont="1" applyBorder="1" applyAlignment="1">
      <alignment horizontal="center" vertical="center"/>
    </xf>
    <xf numFmtId="0" fontId="55" fillId="0" borderId="45" xfId="0" applyFont="1" applyBorder="1" applyAlignment="1">
      <alignment horizontal="center" vertical="center"/>
    </xf>
    <xf numFmtId="0" fontId="30" fillId="0" borderId="0" xfId="0" applyFont="1" applyAlignment="1">
      <alignment horizontal="right" vertical="center"/>
    </xf>
    <xf numFmtId="0" fontId="40" fillId="0" borderId="48" xfId="0" applyFont="1" applyBorder="1" applyAlignment="1">
      <alignment horizontal="center" vertical="center"/>
    </xf>
    <xf numFmtId="0" fontId="40" fillId="0" borderId="49" xfId="0" applyFont="1" applyBorder="1" applyAlignment="1">
      <alignment horizontal="center" vertical="center"/>
    </xf>
    <xf numFmtId="0" fontId="40" fillId="0" borderId="50" xfId="0" applyFont="1" applyBorder="1" applyAlignment="1">
      <alignment horizontal="center" vertical="center"/>
    </xf>
    <xf numFmtId="0" fontId="31" fillId="14" borderId="0" xfId="0" applyFont="1" applyFill="1" applyAlignment="1">
      <alignment horizontal="center" vertical="center"/>
    </xf>
    <xf numFmtId="0" fontId="41" fillId="0" borderId="48" xfId="0" applyFont="1" applyBorder="1" applyAlignment="1">
      <alignment horizontal="center" vertical="center"/>
    </xf>
    <xf numFmtId="0" fontId="41" fillId="0" borderId="49" xfId="0" applyFont="1" applyBorder="1" applyAlignment="1">
      <alignment horizontal="center" vertical="center"/>
    </xf>
    <xf numFmtId="0" fontId="41" fillId="0" borderId="50" xfId="0" applyFont="1" applyBorder="1" applyAlignment="1">
      <alignment horizontal="center" vertical="center"/>
    </xf>
    <xf numFmtId="0" fontId="40" fillId="0" borderId="49" xfId="0" applyFont="1" applyBorder="1" applyAlignment="1">
      <alignment horizontal="right" vertical="center"/>
    </xf>
    <xf numFmtId="0" fontId="30" fillId="0" borderId="80" xfId="0" applyFont="1" applyBorder="1" applyAlignment="1">
      <alignment horizontal="left" vertical="center"/>
    </xf>
    <xf numFmtId="0" fontId="30" fillId="0" borderId="7" xfId="0" applyFont="1" applyBorder="1" applyAlignment="1">
      <alignment horizontal="left" vertical="center"/>
    </xf>
    <xf numFmtId="0" fontId="30" fillId="0" borderId="79" xfId="0" applyFont="1" applyBorder="1" applyAlignment="1">
      <alignment horizontal="left" vertical="center"/>
    </xf>
    <xf numFmtId="0" fontId="30" fillId="0" borderId="72" xfId="0" applyFont="1" applyBorder="1" applyAlignment="1">
      <alignment horizontal="left" vertical="center"/>
    </xf>
    <xf numFmtId="0" fontId="30" fillId="0" borderId="73" xfId="0" applyFont="1" applyBorder="1" applyAlignment="1">
      <alignment horizontal="left" vertical="center"/>
    </xf>
    <xf numFmtId="0" fontId="30" fillId="0" borderId="45" xfId="0" applyFont="1" applyBorder="1" applyAlignment="1">
      <alignment horizontal="left" vertical="center"/>
    </xf>
    <xf numFmtId="0" fontId="48" fillId="0" borderId="15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8" xfId="0" applyFont="1" applyBorder="1" applyAlignment="1">
      <alignment horizontal="center" vertical="center"/>
    </xf>
    <xf numFmtId="0" fontId="30" fillId="0" borderId="75" xfId="0" applyFont="1" applyBorder="1" applyAlignment="1">
      <alignment horizontal="center" vertical="center" wrapText="1"/>
    </xf>
    <xf numFmtId="0" fontId="30" fillId="0" borderId="77" xfId="0" applyFont="1" applyBorder="1" applyAlignment="1">
      <alignment horizontal="center" vertical="center" wrapText="1"/>
    </xf>
    <xf numFmtId="0" fontId="31" fillId="0" borderId="1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77" xfId="0" applyFont="1" applyBorder="1" applyAlignment="1">
      <alignment horizontal="center" vertical="center"/>
    </xf>
    <xf numFmtId="0" fontId="31" fillId="0" borderId="75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83" xfId="0" applyFont="1" applyBorder="1" applyAlignment="1">
      <alignment horizontal="center" vertical="center"/>
    </xf>
    <xf numFmtId="0" fontId="31" fillId="0" borderId="37" xfId="0" applyFont="1" applyBorder="1" applyAlignment="1">
      <alignment horizontal="left" vertical="top"/>
    </xf>
    <xf numFmtId="0" fontId="31" fillId="0" borderId="36" xfId="0" applyFont="1" applyBorder="1" applyAlignment="1">
      <alignment horizontal="left" vertical="top"/>
    </xf>
    <xf numFmtId="0" fontId="31" fillId="0" borderId="71" xfId="0" applyFont="1" applyBorder="1" applyAlignment="1">
      <alignment horizontal="left" vertical="top"/>
    </xf>
    <xf numFmtId="0" fontId="31" fillId="0" borderId="3" xfId="0" applyFont="1" applyBorder="1" applyAlignment="1">
      <alignment horizontal="left" vertical="top"/>
    </xf>
    <xf numFmtId="0" fontId="31" fillId="0" borderId="0" xfId="0" applyFont="1" applyAlignment="1">
      <alignment horizontal="left" vertical="top"/>
    </xf>
    <xf numFmtId="0" fontId="31" fillId="0" borderId="69" xfId="0" applyFont="1" applyBorder="1" applyAlignment="1">
      <alignment horizontal="left" vertical="top"/>
    </xf>
    <xf numFmtId="0" fontId="31" fillId="0" borderId="72" xfId="0" applyFont="1" applyBorder="1" applyAlignment="1">
      <alignment horizontal="left" vertical="top"/>
    </xf>
    <xf numFmtId="0" fontId="31" fillId="0" borderId="73" xfId="0" applyFont="1" applyBorder="1" applyAlignment="1">
      <alignment horizontal="left" vertical="top"/>
    </xf>
    <xf numFmtId="0" fontId="31" fillId="0" borderId="45" xfId="0" applyFont="1" applyBorder="1" applyAlignment="1">
      <alignment horizontal="left" vertical="top"/>
    </xf>
    <xf numFmtId="0" fontId="51" fillId="0" borderId="0" xfId="0" applyFont="1" applyAlignment="1">
      <alignment horizontal="center" vertical="center" wrapText="1"/>
    </xf>
    <xf numFmtId="0" fontId="31" fillId="14" borderId="48" xfId="0" applyFont="1" applyFill="1" applyBorder="1" applyAlignment="1">
      <alignment horizontal="center" vertical="top"/>
    </xf>
    <xf numFmtId="0" fontId="31" fillId="14" borderId="49" xfId="0" applyFont="1" applyFill="1" applyBorder="1" applyAlignment="1">
      <alignment horizontal="center" vertical="top"/>
    </xf>
    <xf numFmtId="0" fontId="31" fillId="14" borderId="50" xfId="0" applyFont="1" applyFill="1" applyBorder="1" applyAlignment="1">
      <alignment horizontal="center" vertical="top"/>
    </xf>
    <xf numFmtId="0" fontId="0" fillId="0" borderId="3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27" fillId="0" borderId="48" xfId="8" applyFont="1" applyBorder="1" applyAlignment="1">
      <alignment horizontal="center" vertical="center" wrapText="1"/>
    </xf>
    <xf numFmtId="0" fontId="27" fillId="0" borderId="49" xfId="8" applyFont="1" applyBorder="1" applyAlignment="1">
      <alignment horizontal="center" vertical="center" wrapText="1"/>
    </xf>
    <xf numFmtId="0" fontId="27" fillId="0" borderId="50" xfId="8" applyFont="1" applyBorder="1" applyAlignment="1">
      <alignment horizontal="center" vertical="center" wrapText="1"/>
    </xf>
    <xf numFmtId="0" fontId="5" fillId="0" borderId="0" xfId="8" applyAlignment="1">
      <alignment horizontal="center" vertical="center" wrapText="1"/>
    </xf>
    <xf numFmtId="0" fontId="5" fillId="0" borderId="31" xfId="8" applyBorder="1" applyAlignment="1">
      <alignment horizontal="center" vertical="center"/>
    </xf>
    <xf numFmtId="0" fontId="5" fillId="0" borderId="42" xfId="8" applyBorder="1" applyAlignment="1">
      <alignment horizontal="center" vertical="center"/>
    </xf>
    <xf numFmtId="0" fontId="25" fillId="7" borderId="31" xfId="8" applyFont="1" applyFill="1" applyBorder="1" applyAlignment="1">
      <alignment horizontal="center" vertical="center"/>
    </xf>
    <xf numFmtId="0" fontId="25" fillId="7" borderId="42" xfId="8" applyFont="1" applyFill="1" applyBorder="1" applyAlignment="1">
      <alignment horizontal="center" vertical="center"/>
    </xf>
    <xf numFmtId="0" fontId="25" fillId="12" borderId="32" xfId="8" applyFont="1" applyFill="1" applyBorder="1" applyAlignment="1">
      <alignment horizontal="center" vertical="center"/>
    </xf>
    <xf numFmtId="0" fontId="25" fillId="12" borderId="44" xfId="8" applyFont="1" applyFill="1" applyBorder="1" applyAlignment="1">
      <alignment horizontal="center" vertical="center"/>
    </xf>
    <xf numFmtId="0" fontId="5" fillId="0" borderId="45" xfId="8" applyBorder="1" applyAlignment="1">
      <alignment horizontal="center" vertical="center"/>
    </xf>
    <xf numFmtId="0" fontId="5" fillId="0" borderId="46" xfId="8" applyBorder="1" applyAlignment="1">
      <alignment horizontal="center" vertical="center"/>
    </xf>
    <xf numFmtId="0" fontId="5" fillId="0" borderId="54" xfId="8" applyBorder="1" applyAlignment="1">
      <alignment horizontal="center" vertical="center"/>
    </xf>
  </cellXfs>
  <cellStyles count="10">
    <cellStyle name="Lien hypertexte" xfId="1" builtinId="8"/>
    <cellStyle name="Normal" xfId="0" builtinId="0"/>
    <cellStyle name="Normal 2" xfId="4" xr:uid="{00000000-0005-0000-0000-000002000000}"/>
    <cellStyle name="Normal 2 2" xfId="5" xr:uid="{00000000-0005-0000-0000-000003000000}"/>
    <cellStyle name="Normal 3" xfId="3" xr:uid="{00000000-0005-0000-0000-000004000000}"/>
    <cellStyle name="Normal 3 2" xfId="7" xr:uid="{00000000-0005-0000-0000-000005000000}"/>
    <cellStyle name="Normal 3 3" xfId="9" xr:uid="{00000000-0005-0000-0000-000006000000}"/>
    <cellStyle name="Normal 4" xfId="8" xr:uid="{00000000-0005-0000-0000-000007000000}"/>
    <cellStyle name="Pourcentage 2" xfId="6" xr:uid="{00000000-0005-0000-0000-000008000000}"/>
    <cellStyle name="Standard_Kabeldimensionierung" xfId="2" xr:uid="{00000000-0005-0000-0000-000009000000}"/>
  </cellStyles>
  <dxfs count="16">
    <dxf>
      <fill>
        <patternFill>
          <bgColor rgb="FFCC6600"/>
        </patternFill>
      </fill>
    </dxf>
    <dxf>
      <fill>
        <patternFill>
          <bgColor rgb="FFFF3300"/>
        </patternFill>
      </fill>
    </dxf>
    <dxf>
      <fill>
        <patternFill>
          <bgColor rgb="FFFFFF00"/>
        </patternFill>
      </fill>
    </dxf>
    <dxf>
      <fill>
        <patternFill>
          <bgColor rgb="FF9966FF"/>
        </patternFill>
      </fill>
    </dxf>
    <dxf>
      <fill>
        <patternFill>
          <bgColor theme="0" tint="-0.499984740745262"/>
        </patternFill>
      </fill>
    </dxf>
    <dxf>
      <fill>
        <patternFill>
          <bgColor rgb="FFFF669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CC6600"/>
        </patternFill>
      </fill>
    </dxf>
    <dxf>
      <fill>
        <patternFill>
          <bgColor rgb="FFFF3300"/>
        </patternFill>
      </fill>
    </dxf>
    <dxf>
      <fill>
        <patternFill>
          <bgColor rgb="FFFFFF00"/>
        </patternFill>
      </fill>
    </dxf>
    <dxf>
      <fill>
        <patternFill>
          <bgColor rgb="FF9966FF"/>
        </patternFill>
      </fill>
    </dxf>
    <dxf>
      <fill>
        <patternFill>
          <bgColor theme="0" tint="-0.499984740745262"/>
        </patternFill>
      </fill>
    </dxf>
    <dxf>
      <fill>
        <patternFill>
          <bgColor rgb="FFFF669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6699"/>
      <color rgb="FF9966FF"/>
      <color rgb="FFFF3300"/>
      <color rgb="FFCC6600"/>
      <color rgb="FF00B59C"/>
      <color rgb="FF66CCFF"/>
      <color rgb="FFFFFF99"/>
      <color rgb="FFFF9933"/>
      <color rgb="FFFF9999"/>
      <color rgb="FF0059B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400050</xdr:colOff>
          <xdr:row>7</xdr:row>
          <xdr:rowOff>85725</xdr:rowOff>
        </xdr:from>
        <xdr:to>
          <xdr:col>5</xdr:col>
          <xdr:colOff>923925</xdr:colOff>
          <xdr:row>9</xdr:row>
          <xdr:rowOff>85725</xdr:rowOff>
        </xdr:to>
        <xdr:sp macro="" textlink="">
          <xdr:nvSpPr>
            <xdr:cNvPr id="4099" name="Bou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1" i="1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Enregister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495300</xdr:colOff>
          <xdr:row>1</xdr:row>
          <xdr:rowOff>161925</xdr:rowOff>
        </xdr:from>
        <xdr:to>
          <xdr:col>8</xdr:col>
          <xdr:colOff>771525</xdr:colOff>
          <xdr:row>5</xdr:row>
          <xdr:rowOff>123825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Mise a jour Database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33</xdr:col>
      <xdr:colOff>30166</xdr:colOff>
      <xdr:row>317</xdr:row>
      <xdr:rowOff>13875</xdr:rowOff>
    </xdr:from>
    <xdr:ext cx="264536" cy="205200"/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7766" y="79757175"/>
          <a:ext cx="264536" cy="205200"/>
        </a:xfrm>
        <a:prstGeom prst="rect">
          <a:avLst/>
        </a:prstGeom>
      </xdr:spPr>
    </xdr:pic>
    <xdr:clientData/>
  </xdr:oneCellAnchor>
  <xdr:oneCellAnchor>
    <xdr:from>
      <xdr:col>33</xdr:col>
      <xdr:colOff>30166</xdr:colOff>
      <xdr:row>318</xdr:row>
      <xdr:rowOff>13875</xdr:rowOff>
    </xdr:from>
    <xdr:ext cx="264536" cy="205200"/>
    <xdr:pic>
      <xdr:nvPicPr>
        <xdr:cNvPr id="65" name="Image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7766" y="80004825"/>
          <a:ext cx="264536" cy="205200"/>
        </a:xfrm>
        <a:prstGeom prst="rect">
          <a:avLst/>
        </a:prstGeom>
      </xdr:spPr>
    </xdr:pic>
    <xdr:clientData/>
  </xdr:oneCellAnchor>
  <xdr:oneCellAnchor>
    <xdr:from>
      <xdr:col>33</xdr:col>
      <xdr:colOff>30166</xdr:colOff>
      <xdr:row>319</xdr:row>
      <xdr:rowOff>13875</xdr:rowOff>
    </xdr:from>
    <xdr:ext cx="264536" cy="205200"/>
    <xdr:pic>
      <xdr:nvPicPr>
        <xdr:cNvPr id="66" name="Imag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7766" y="80252475"/>
          <a:ext cx="264536" cy="205200"/>
        </a:xfrm>
        <a:prstGeom prst="rect">
          <a:avLst/>
        </a:prstGeom>
      </xdr:spPr>
    </xdr:pic>
    <xdr:clientData/>
  </xdr:oneCellAnchor>
  <xdr:oneCellAnchor>
    <xdr:from>
      <xdr:col>33</xdr:col>
      <xdr:colOff>30166</xdr:colOff>
      <xdr:row>320</xdr:row>
      <xdr:rowOff>13875</xdr:rowOff>
    </xdr:from>
    <xdr:ext cx="264536" cy="205200"/>
    <xdr:pic>
      <xdr:nvPicPr>
        <xdr:cNvPr id="67" name="Image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7766" y="80500125"/>
          <a:ext cx="264536" cy="205200"/>
        </a:xfrm>
        <a:prstGeom prst="rect">
          <a:avLst/>
        </a:prstGeom>
      </xdr:spPr>
    </xdr:pic>
    <xdr:clientData/>
  </xdr:oneCellAnchor>
  <xdr:oneCellAnchor>
    <xdr:from>
      <xdr:col>33</xdr:col>
      <xdr:colOff>30166</xdr:colOff>
      <xdr:row>322</xdr:row>
      <xdr:rowOff>13875</xdr:rowOff>
    </xdr:from>
    <xdr:ext cx="264536" cy="205200"/>
    <xdr:pic>
      <xdr:nvPicPr>
        <xdr:cNvPr id="69" name="Image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307766" y="80995425"/>
          <a:ext cx="264536" cy="205200"/>
        </a:xfrm>
        <a:prstGeom prst="rect">
          <a:avLst/>
        </a:prstGeom>
      </xdr:spPr>
    </xdr:pic>
    <xdr:clientData/>
  </xdr:oneCellAnchor>
  <xdr:oneCellAnchor>
    <xdr:from>
      <xdr:col>2</xdr:col>
      <xdr:colOff>110938</xdr:colOff>
      <xdr:row>57</xdr:row>
      <xdr:rowOff>30272</xdr:rowOff>
    </xdr:from>
    <xdr:ext cx="1574426" cy="349047"/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846044" y="8501919"/>
          <a:ext cx="1574426" cy="349047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209550</xdr:colOff>
      <xdr:row>0</xdr:row>
      <xdr:rowOff>57150</xdr:rowOff>
    </xdr:from>
    <xdr:ext cx="2019300" cy="447675"/>
    <xdr:pic>
      <xdr:nvPicPr>
        <xdr:cNvPr id="17" name="Imag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556932" y="22345650"/>
          <a:ext cx="2019300" cy="4476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209550</xdr:colOff>
      <xdr:row>169</xdr:row>
      <xdr:rowOff>57150</xdr:rowOff>
    </xdr:from>
    <xdr:ext cx="2019300" cy="447675"/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561975" y="22536150"/>
          <a:ext cx="2019300" cy="4476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25</xdr:col>
      <xdr:colOff>209550</xdr:colOff>
      <xdr:row>169</xdr:row>
      <xdr:rowOff>57150</xdr:rowOff>
    </xdr:from>
    <xdr:ext cx="2019300" cy="447675"/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9371479" y="29237268"/>
          <a:ext cx="2019300" cy="4476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25</xdr:col>
      <xdr:colOff>209550</xdr:colOff>
      <xdr:row>57</xdr:row>
      <xdr:rowOff>57150</xdr:rowOff>
    </xdr:from>
    <xdr:ext cx="2019300" cy="447675"/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577103" y="57150"/>
          <a:ext cx="2019300" cy="447675"/>
        </a:xfrm>
        <a:prstGeom prst="rect">
          <a:avLst/>
        </a:prstGeom>
        <a:noFill/>
        <a:ln>
          <a:noFill/>
        </a:ln>
      </xdr:spPr>
    </xdr:pic>
    <xdr:clientData/>
  </xdr:oneCellAnchor>
  <xdr:oneCellAnchor>
    <xdr:from>
      <xdr:col>1</xdr:col>
      <xdr:colOff>209550</xdr:colOff>
      <xdr:row>112</xdr:row>
      <xdr:rowOff>57150</xdr:rowOff>
    </xdr:from>
    <xdr:ext cx="2019300" cy="447675"/>
    <xdr:pic>
      <xdr:nvPicPr>
        <xdr:cNvPr id="4" name="Image 3">
          <a:extLst>
            <a:ext uri="{FF2B5EF4-FFF2-40B4-BE49-F238E27FC236}">
              <a16:creationId xmlns:a16="http://schemas.microsoft.com/office/drawing/2014/main" id="{B4EACEB7-9278-42B0-BC17-C1C0D51635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314" b="16314"/>
        <a:stretch/>
      </xdr:blipFill>
      <xdr:spPr bwMode="auto">
        <a:xfrm>
          <a:off x="556932" y="57150"/>
          <a:ext cx="2019300" cy="447675"/>
        </a:xfrm>
        <a:prstGeom prst="rect">
          <a:avLst/>
        </a:prstGeom>
        <a:noFill/>
        <a:ln>
          <a:noFill/>
        </a:ln>
      </xdr:spPr>
    </xdr:pic>
    <xdr:clientData/>
  </xdr:oneCellAnchor>
  <xdr:twoCellAnchor editAs="oneCell">
    <xdr:from>
      <xdr:col>1</xdr:col>
      <xdr:colOff>40820</xdr:colOff>
      <xdr:row>3</xdr:row>
      <xdr:rowOff>163286</xdr:rowOff>
    </xdr:from>
    <xdr:to>
      <xdr:col>21</xdr:col>
      <xdr:colOff>312963</xdr:colOff>
      <xdr:row>56</xdr:row>
      <xdr:rowOff>133417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4F6963CA-AA78-4C96-5E62-D84021848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606" y="734786"/>
          <a:ext cx="7851321" cy="10066631"/>
        </a:xfrm>
        <a:prstGeom prst="rect">
          <a:avLst/>
        </a:prstGeom>
      </xdr:spPr>
    </xdr:pic>
    <xdr:clientData/>
  </xdr:twoCellAnchor>
  <xdr:twoCellAnchor editAs="oneCell">
    <xdr:from>
      <xdr:col>1</xdr:col>
      <xdr:colOff>54428</xdr:colOff>
      <xdr:row>116</xdr:row>
      <xdr:rowOff>0</xdr:rowOff>
    </xdr:from>
    <xdr:to>
      <xdr:col>21</xdr:col>
      <xdr:colOff>326571</xdr:colOff>
      <xdr:row>168</xdr:row>
      <xdr:rowOff>160631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40DC79AE-49A8-4063-BA83-1BE8A8362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8214" y="22098000"/>
          <a:ext cx="7851321" cy="1006663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eraudesolaireo365-my.sharepoint.com/COMMUN/BE/Source/Etude-Type-V2.0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srvem01\data\COMMUN\BE\Vivien\Calculs\Cable%20Vivi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VIS"/>
      <sheetName val="DONNEES"/>
      <sheetName val="TABLEAU"/>
      <sheetName val="Cable"/>
      <sheetName val="Prod Sup 1 toit"/>
      <sheetName val="Note"/>
      <sheetName val="Feuil2"/>
    </sheetNames>
    <sheetDataSet>
      <sheetData sheetId="0">
        <row r="6">
          <cell r="AL6" t="str">
            <v>SMA</v>
          </cell>
        </row>
      </sheetData>
      <sheetData sheetId="1">
        <row r="2">
          <cell r="H2" t="str">
            <v>Frédéric HALNA</v>
          </cell>
        </row>
        <row r="3">
          <cell r="H3" t="str">
            <v>Sébastien GORON</v>
          </cell>
        </row>
        <row r="4">
          <cell r="H4" t="str">
            <v>Yves Marc Dumesnil</v>
          </cell>
        </row>
        <row r="5">
          <cell r="H5" t="str">
            <v>Kélig Courtin</v>
          </cell>
        </row>
        <row r="6">
          <cell r="H6" t="str">
            <v>Lionel Teissier</v>
          </cell>
        </row>
        <row r="7">
          <cell r="H7" t="str">
            <v>Stéphane Jarno</v>
          </cell>
        </row>
      </sheetData>
      <sheetData sheetId="2">
        <row r="2">
          <cell r="D2" t="str">
            <v>Alençon</v>
          </cell>
        </row>
      </sheetData>
      <sheetData sheetId="3"/>
      <sheetData sheetId="4"/>
      <sheetData sheetId="5">
        <row r="4">
          <cell r="I4">
            <v>25000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ble"/>
      <sheetName val="Feuil1"/>
      <sheetName val="Note"/>
      <sheetName val="Onduleurs"/>
      <sheetName val="Formule Chute"/>
      <sheetName val="Filiation"/>
      <sheetName val="Tarifs câble"/>
    </sheetNames>
    <sheetDataSet>
      <sheetData sheetId="0"/>
      <sheetData sheetId="1"/>
      <sheetData sheetId="2">
        <row r="7">
          <cell r="F7">
            <v>1.5</v>
          </cell>
        </row>
        <row r="8">
          <cell r="F8">
            <v>2.5</v>
          </cell>
        </row>
        <row r="9">
          <cell r="F9">
            <v>4</v>
          </cell>
        </row>
        <row r="10">
          <cell r="F10">
            <v>6</v>
          </cell>
        </row>
        <row r="11">
          <cell r="F11">
            <v>10</v>
          </cell>
        </row>
        <row r="12">
          <cell r="F12">
            <v>16</v>
          </cell>
        </row>
        <row r="13">
          <cell r="F13">
            <v>25</v>
          </cell>
        </row>
        <row r="14">
          <cell r="F14">
            <v>35</v>
          </cell>
        </row>
        <row r="15">
          <cell r="F15">
            <v>50</v>
          </cell>
        </row>
        <row r="16">
          <cell r="F16">
            <v>70</v>
          </cell>
        </row>
        <row r="17">
          <cell r="F17">
            <v>95</v>
          </cell>
        </row>
        <row r="18">
          <cell r="F18">
            <v>120</v>
          </cell>
        </row>
        <row r="19">
          <cell r="F19">
            <v>150</v>
          </cell>
        </row>
        <row r="20">
          <cell r="F20">
            <v>185</v>
          </cell>
        </row>
        <row r="21">
          <cell r="F21">
            <v>240</v>
          </cell>
        </row>
        <row r="22">
          <cell r="F22">
            <v>300</v>
          </cell>
        </row>
        <row r="24">
          <cell r="F24">
            <v>10</v>
          </cell>
        </row>
        <row r="25">
          <cell r="F25">
            <v>16</v>
          </cell>
        </row>
        <row r="26">
          <cell r="F26">
            <v>25</v>
          </cell>
        </row>
        <row r="27">
          <cell r="F27">
            <v>35</v>
          </cell>
        </row>
        <row r="28">
          <cell r="F28">
            <v>50</v>
          </cell>
        </row>
        <row r="29">
          <cell r="F29">
            <v>70</v>
          </cell>
        </row>
        <row r="30">
          <cell r="F30">
            <v>95</v>
          </cell>
        </row>
        <row r="31">
          <cell r="F31">
            <v>120</v>
          </cell>
        </row>
        <row r="32">
          <cell r="F32">
            <v>150</v>
          </cell>
        </row>
        <row r="33">
          <cell r="F33">
            <v>185</v>
          </cell>
        </row>
        <row r="34">
          <cell r="F34">
            <v>240</v>
          </cell>
        </row>
        <row r="35">
          <cell r="F35">
            <v>300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W93"/>
  <sheetViews>
    <sheetView topLeftCell="A79" zoomScaleNormal="100" workbookViewId="0">
      <selection activeCell="B2" sqref="B2:D2"/>
    </sheetView>
  </sheetViews>
  <sheetFormatPr baseColWidth="10" defaultColWidth="11.42578125" defaultRowHeight="12.75" x14ac:dyDescent="0.2"/>
  <cols>
    <col min="1" max="1" width="23" style="164" bestFit="1" customWidth="1"/>
    <col min="2" max="2" width="23.140625" style="164" customWidth="1"/>
    <col min="3" max="3" width="11.140625" style="164" customWidth="1"/>
    <col min="4" max="4" width="4.7109375" style="164" customWidth="1"/>
    <col min="5" max="5" width="8.7109375" style="164" customWidth="1"/>
    <col min="6" max="6" width="24" style="164" customWidth="1"/>
    <col min="7" max="7" width="13" style="164" customWidth="1"/>
    <col min="8" max="8" width="16.7109375" style="164" customWidth="1"/>
    <col min="9" max="9" width="13.85546875" style="164" customWidth="1"/>
    <col min="10" max="10" width="15" style="164" bestFit="1" customWidth="1"/>
    <col min="11" max="12" width="20.7109375" style="164" customWidth="1"/>
    <col min="13" max="13" width="19.42578125" style="164" customWidth="1"/>
    <col min="14" max="14" width="25.5703125" style="164" customWidth="1"/>
    <col min="15" max="15" width="27.85546875" style="164" customWidth="1"/>
    <col min="16" max="16" width="9.28515625" style="164" customWidth="1"/>
    <col min="17" max="17" width="8.28515625" style="164" customWidth="1"/>
    <col min="18" max="18" width="14.42578125" style="164" customWidth="1"/>
    <col min="19" max="19" width="11.42578125" style="164"/>
    <col min="20" max="20" width="22.42578125" style="164" customWidth="1"/>
    <col min="21" max="21" width="26" style="164" customWidth="1"/>
    <col min="22" max="16384" width="11.42578125" style="164"/>
  </cols>
  <sheetData>
    <row r="1" spans="1:22" ht="13.5" thickBot="1" x14ac:dyDescent="0.25">
      <c r="A1" s="163" t="s">
        <v>510</v>
      </c>
      <c r="B1" s="420">
        <f ca="1">TODAY()</f>
        <v>46003</v>
      </c>
      <c r="C1" s="421"/>
      <c r="D1" s="422"/>
    </row>
    <row r="2" spans="1:22" x14ac:dyDescent="0.2">
      <c r="A2" s="165" t="s">
        <v>515</v>
      </c>
      <c r="B2" s="423"/>
      <c r="C2" s="423"/>
      <c r="D2" s="424"/>
      <c r="F2" s="437" t="s">
        <v>522</v>
      </c>
      <c r="G2" s="438"/>
      <c r="J2" s="426"/>
      <c r="K2" s="399"/>
      <c r="L2" s="399"/>
    </row>
    <row r="3" spans="1:22" x14ac:dyDescent="0.2">
      <c r="A3" s="166" t="s">
        <v>51</v>
      </c>
      <c r="B3" s="410"/>
      <c r="C3" s="410"/>
      <c r="D3" s="411"/>
      <c r="F3" s="435" t="s">
        <v>329</v>
      </c>
      <c r="G3" s="436"/>
      <c r="J3" s="426"/>
      <c r="K3" s="399"/>
      <c r="L3" s="399"/>
    </row>
    <row r="4" spans="1:22" x14ac:dyDescent="0.2">
      <c r="A4" s="167" t="s">
        <v>516</v>
      </c>
      <c r="B4" s="410"/>
      <c r="C4" s="410"/>
      <c r="D4" s="411"/>
      <c r="F4" s="433" t="str">
        <f>VLOOKUP($F$3,Comm!A2:C20,2,FALSE)</f>
        <v>06 11 24 11 35</v>
      </c>
      <c r="G4" s="434"/>
      <c r="J4" s="426"/>
      <c r="K4" s="399"/>
      <c r="L4" s="399"/>
    </row>
    <row r="5" spans="1:22" ht="13.5" thickBot="1" x14ac:dyDescent="0.25">
      <c r="A5" s="167" t="s">
        <v>517</v>
      </c>
      <c r="B5" s="410"/>
      <c r="C5" s="410"/>
      <c r="D5" s="411"/>
      <c r="F5" s="428" t="str">
        <f>VLOOKUP($F$3,Comm!A2:C20,3,FALSE)</f>
        <v>x.borel@emeraude-solaire.com</v>
      </c>
      <c r="G5" s="429"/>
      <c r="H5" s="168"/>
      <c r="I5" s="168"/>
      <c r="J5" s="427"/>
      <c r="K5" s="399"/>
      <c r="L5" s="399"/>
    </row>
    <row r="6" spans="1:22" x14ac:dyDescent="0.2">
      <c r="A6" s="166" t="s">
        <v>13</v>
      </c>
      <c r="B6" s="410"/>
      <c r="C6" s="410"/>
      <c r="D6" s="411"/>
      <c r="F6" s="439" t="s">
        <v>453</v>
      </c>
      <c r="G6" s="440"/>
      <c r="J6" s="426"/>
      <c r="K6" s="399"/>
      <c r="L6" s="399"/>
    </row>
    <row r="7" spans="1:22" ht="13.5" thickBot="1" x14ac:dyDescent="0.25">
      <c r="A7" s="169" t="s">
        <v>518</v>
      </c>
      <c r="B7" s="425"/>
      <c r="C7" s="412"/>
      <c r="D7" s="413"/>
      <c r="F7" s="394" t="s">
        <v>546</v>
      </c>
      <c r="G7" s="395"/>
      <c r="J7" s="426"/>
      <c r="K7" s="399"/>
      <c r="L7" s="399"/>
    </row>
    <row r="8" spans="1:22" x14ac:dyDescent="0.2">
      <c r="A8" s="165" t="s">
        <v>519</v>
      </c>
      <c r="B8" s="423"/>
      <c r="C8" s="423"/>
      <c r="D8" s="424"/>
    </row>
    <row r="9" spans="1:22" x14ac:dyDescent="0.2">
      <c r="A9" s="167" t="s">
        <v>520</v>
      </c>
      <c r="B9" s="410"/>
      <c r="C9" s="410"/>
      <c r="D9" s="411"/>
      <c r="G9" s="430" t="e">
        <f>CONCATENATE(F13,G13,"\",G13,".xlsm")</f>
        <v>#VALUE!</v>
      </c>
      <c r="H9" s="431"/>
      <c r="I9" s="431"/>
      <c r="J9" s="431"/>
      <c r="K9" s="431"/>
      <c r="L9" s="432"/>
    </row>
    <row r="10" spans="1:22" x14ac:dyDescent="0.2">
      <c r="A10" s="167" t="s">
        <v>521</v>
      </c>
      <c r="B10" s="410"/>
      <c r="C10" s="410"/>
      <c r="D10" s="411"/>
    </row>
    <row r="11" spans="1:22" ht="13.5" thickBot="1" x14ac:dyDescent="0.25">
      <c r="A11" s="169" t="s">
        <v>517</v>
      </c>
      <c r="B11" s="412"/>
      <c r="C11" s="412"/>
      <c r="D11" s="413"/>
    </row>
    <row r="12" spans="1:22" ht="15.75" x14ac:dyDescent="0.2">
      <c r="A12" s="165" t="s">
        <v>513</v>
      </c>
      <c r="B12" s="170">
        <f>(B16*B20)/1000+(B65*B69)/1000</f>
        <v>0</v>
      </c>
      <c r="C12" s="171" t="s">
        <v>514</v>
      </c>
      <c r="D12" s="172"/>
      <c r="F12" s="173">
        <f>IF(LEFT(B2,6)="Mr Mme",RIGHT(B2,LEN(B2)-7),IF(LEFT(B2,2)="Mr",RIGHT(B2,LEN(B2)-3),IF(LEFT(B2,3)="Mme",RIGHT(B2,LEN(B2)-4),IF(LEFT(B2,2)="M.",RIGHT(B2,LEN(B2)-3),B2))))</f>
        <v>0</v>
      </c>
      <c r="G12" s="174" t="e">
        <f>RIGHT(B11,LEN(B11)-6)</f>
        <v>#VALUE!</v>
      </c>
      <c r="H12" s="174" t="str">
        <f>IF(B65=0,CONCATENATE(VLOOKUP(B15,Panneaux!A2:R100,18,FALSE)),(CONCATENATE(VLOOKUP(B15,Panneaux!A2:R100,18,FALSE),"+",VLOOKUP(B64,Panneaux!A2:R100,18,FALSE))))</f>
        <v/>
      </c>
      <c r="I12" s="174">
        <f>VLOOKUP(B28,Onduleur!$A$2:$M$100,13,FALSE)</f>
        <v>0</v>
      </c>
      <c r="J12" s="175">
        <f>B12*1000</f>
        <v>0</v>
      </c>
    </row>
    <row r="13" spans="1:22" ht="16.5" thickBot="1" x14ac:dyDescent="0.25">
      <c r="A13" s="169" t="s">
        <v>512</v>
      </c>
      <c r="B13" s="176">
        <f>METRE!K107</f>
        <v>0</v>
      </c>
      <c r="C13" s="177" t="s">
        <v>511</v>
      </c>
      <c r="D13" s="178"/>
      <c r="F13" s="190" t="s">
        <v>550</v>
      </c>
      <c r="G13" s="441" t="e">
        <f>CONCATENATE(F7," - ",F12," - ",G12," - ",H12," - ",I12," - ",LEFT(J12,LEN(J12)-3),",",RIGHT(J12,3)," kWc")</f>
        <v>#VALUE!</v>
      </c>
      <c r="H13" s="442"/>
      <c r="I13" s="442"/>
      <c r="J13" s="443"/>
    </row>
    <row r="14" spans="1:22" ht="13.5" thickBot="1" x14ac:dyDescent="0.25">
      <c r="F14" s="417"/>
      <c r="G14" s="399"/>
    </row>
    <row r="15" spans="1:22" x14ac:dyDescent="0.2">
      <c r="A15" s="179" t="s">
        <v>523</v>
      </c>
      <c r="B15" s="375" t="s">
        <v>96</v>
      </c>
      <c r="C15" s="396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</row>
    <row r="16" spans="1:22" ht="13.5" thickBot="1" x14ac:dyDescent="0.25">
      <c r="A16" s="181" t="s">
        <v>3</v>
      </c>
      <c r="B16" s="377"/>
      <c r="C16" s="397"/>
      <c r="F16" s="182"/>
      <c r="G16" s="168"/>
      <c r="H16" s="168"/>
      <c r="I16" s="168"/>
      <c r="J16" s="168"/>
      <c r="K16" s="183"/>
      <c r="L16" s="168"/>
      <c r="M16" s="168"/>
      <c r="N16" s="168"/>
      <c r="O16" s="168"/>
      <c r="P16" s="168"/>
      <c r="Q16" s="168"/>
      <c r="R16" s="168"/>
      <c r="S16" s="168"/>
      <c r="T16" s="168"/>
      <c r="U16" s="168"/>
      <c r="V16" s="168"/>
    </row>
    <row r="17" spans="1:23" x14ac:dyDescent="0.2">
      <c r="A17" s="184" t="s">
        <v>0</v>
      </c>
      <c r="B17" s="185">
        <f>VLOOKUP($B$15,Panneaux!A$2:M$100,11,FALSE)</f>
        <v>0</v>
      </c>
      <c r="C17" s="172"/>
      <c r="F17" s="180"/>
      <c r="K17" s="186"/>
    </row>
    <row r="18" spans="1:23" x14ac:dyDescent="0.2">
      <c r="A18" s="187" t="s">
        <v>457</v>
      </c>
      <c r="B18" s="185">
        <f>VLOOKUP($B$15,Panneaux!A$2:M$100,9,FALSE)</f>
        <v>0</v>
      </c>
      <c r="C18" s="172"/>
      <c r="F18" s="182"/>
      <c r="G18" s="168"/>
      <c r="H18" s="168"/>
      <c r="I18" s="168"/>
      <c r="J18" s="168"/>
      <c r="K18" s="183"/>
      <c r="L18" s="168"/>
      <c r="M18" s="168"/>
      <c r="N18" s="168"/>
      <c r="O18" s="168"/>
      <c r="P18" s="168"/>
      <c r="Q18" s="168"/>
      <c r="R18" s="168"/>
      <c r="S18" s="168"/>
      <c r="T18" s="168"/>
      <c r="U18" s="168"/>
      <c r="V18" s="168"/>
    </row>
    <row r="19" spans="1:23" x14ac:dyDescent="0.2">
      <c r="A19" s="187" t="s">
        <v>9</v>
      </c>
      <c r="B19" s="185">
        <f>VLOOKUP($B$15,Panneaux!A$2:M$100,2,FALSE)</f>
        <v>0</v>
      </c>
      <c r="C19" s="172"/>
      <c r="F19" s="182"/>
      <c r="G19" s="168"/>
      <c r="H19" s="168"/>
      <c r="I19" s="168"/>
      <c r="J19" s="168"/>
      <c r="K19" s="183"/>
      <c r="L19" s="168"/>
      <c r="M19" s="168"/>
      <c r="N19" s="168"/>
      <c r="O19" s="168"/>
      <c r="P19" s="168"/>
      <c r="Q19" s="168"/>
      <c r="R19" s="168"/>
      <c r="S19" s="168"/>
      <c r="T19" s="168"/>
      <c r="U19" s="168"/>
      <c r="V19" s="168"/>
    </row>
    <row r="20" spans="1:23" ht="15.75" x14ac:dyDescent="0.2">
      <c r="A20" s="187" t="s">
        <v>524</v>
      </c>
      <c r="B20" s="185">
        <f>VLOOKUP(B15,Panneaux!A$2:M$100,8,FALSE)</f>
        <v>0</v>
      </c>
      <c r="C20" s="188" t="s">
        <v>526</v>
      </c>
      <c r="F20" s="180"/>
      <c r="K20" s="186"/>
    </row>
    <row r="21" spans="1:23" x14ac:dyDescent="0.2">
      <c r="A21" s="187" t="s">
        <v>93</v>
      </c>
      <c r="B21" s="189">
        <f>VLOOKUP(B15,Panneaux!A$2:M$100,4,FALSE)</f>
        <v>0</v>
      </c>
      <c r="C21" s="188" t="s">
        <v>172</v>
      </c>
      <c r="F21" s="180"/>
      <c r="K21" s="186"/>
    </row>
    <row r="22" spans="1:23" ht="13.5" thickBot="1" x14ac:dyDescent="0.25">
      <c r="A22" s="190" t="s">
        <v>525</v>
      </c>
      <c r="B22" s="191">
        <f>VLOOKUP($B$15,Panneaux!A$2:M$100,6,FALSE)</f>
        <v>0</v>
      </c>
      <c r="C22" s="172" t="s">
        <v>5</v>
      </c>
      <c r="F22" s="180"/>
      <c r="K22" s="186"/>
    </row>
    <row r="23" spans="1:23" ht="13.5" thickBot="1" x14ac:dyDescent="0.25">
      <c r="B23" s="186"/>
      <c r="C23" s="192" t="s">
        <v>55</v>
      </c>
      <c r="D23" s="193">
        <v>2</v>
      </c>
      <c r="F23" s="180"/>
      <c r="K23" s="186"/>
      <c r="L23" s="168"/>
      <c r="M23" s="168"/>
      <c r="N23" s="168"/>
      <c r="O23" s="168"/>
      <c r="P23" s="168"/>
      <c r="Q23" s="168"/>
      <c r="R23" s="168"/>
      <c r="S23" s="168"/>
      <c r="T23" s="168"/>
      <c r="U23" s="168"/>
      <c r="V23" s="168"/>
      <c r="W23" s="168"/>
    </row>
    <row r="24" spans="1:23" ht="13.5" thickBot="1" x14ac:dyDescent="0.25">
      <c r="A24" s="194" t="s">
        <v>527</v>
      </c>
      <c r="B24" s="47"/>
      <c r="C24" s="195" t="s">
        <v>56</v>
      </c>
      <c r="D24" s="178">
        <v>1</v>
      </c>
      <c r="F24" s="180"/>
      <c r="K24" s="186"/>
      <c r="L24" s="168"/>
      <c r="M24" s="168"/>
      <c r="N24" s="168"/>
      <c r="O24" s="168"/>
      <c r="P24" s="168"/>
      <c r="Q24" s="168"/>
      <c r="R24" s="168"/>
      <c r="S24" s="168"/>
      <c r="T24" s="168"/>
      <c r="U24" s="168"/>
      <c r="V24" s="168"/>
      <c r="W24" s="168"/>
    </row>
    <row r="25" spans="1:23" ht="16.5" thickBot="1" x14ac:dyDescent="0.25">
      <c r="A25" s="414" t="str">
        <f>IF(B24="Monophasé",IF(AND(C27&lt;&gt;"T",C33&lt;&gt;"T",C39&lt;&gt;"T",C45&lt;&gt;"T"),"","Raccordement Triphasé Obligatoire"),"")</f>
        <v/>
      </c>
      <c r="B25" s="415"/>
      <c r="C25" s="415"/>
      <c r="D25" s="416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</row>
    <row r="26" spans="1:23" ht="16.5" thickBot="1" x14ac:dyDescent="0.25">
      <c r="A26" s="403" t="s">
        <v>539</v>
      </c>
      <c r="B26" s="418"/>
      <c r="C26" s="196" t="s">
        <v>529</v>
      </c>
      <c r="D26" s="197">
        <f>VLOOKUP(B28,Onduleur!A$2:N$100,14,FALSE)*B30</f>
        <v>0</v>
      </c>
      <c r="E26" s="198" t="s">
        <v>61</v>
      </c>
      <c r="J26" s="168"/>
      <c r="K26" s="445" t="s">
        <v>542</v>
      </c>
      <c r="L26" s="446"/>
      <c r="M26" s="168"/>
      <c r="N26" s="168"/>
      <c r="O26" s="168"/>
      <c r="P26" s="168"/>
      <c r="Q26" s="168"/>
      <c r="R26" s="168"/>
      <c r="S26" s="168"/>
      <c r="T26" s="168"/>
      <c r="U26" s="168"/>
      <c r="V26" s="168"/>
      <c r="W26" s="168"/>
    </row>
    <row r="27" spans="1:23" ht="13.5" thickBot="1" x14ac:dyDescent="0.25">
      <c r="A27" s="165" t="s">
        <v>457</v>
      </c>
      <c r="B27" s="199" t="str">
        <f>VLOOKUP($B28,Onduleur!A$2:M$100,2,FALSE)</f>
        <v>NA</v>
      </c>
      <c r="C27" s="444">
        <f>VLOOKUP(B28,Onduleur!A$2:M$100,12,FALSE)</f>
        <v>0</v>
      </c>
      <c r="D27" s="418"/>
      <c r="E27" s="200">
        <f>VLOOKUP(B28,Onduleur!A$2:M$100,6,FALSE)/1000</f>
        <v>0</v>
      </c>
      <c r="K27" s="201" t="s">
        <v>52</v>
      </c>
      <c r="L27" s="202">
        <f>DONNEES!E28+DONNEES!E34+DONNEES!E40</f>
        <v>0</v>
      </c>
      <c r="M27" s="168"/>
      <c r="N27" s="168"/>
      <c r="O27" s="168"/>
      <c r="P27" s="168"/>
      <c r="Q27" s="168"/>
      <c r="R27" s="168"/>
      <c r="S27" s="168"/>
      <c r="T27" s="168"/>
      <c r="U27" s="168"/>
      <c r="V27" s="168"/>
      <c r="W27" s="168"/>
    </row>
    <row r="28" spans="1:23" x14ac:dyDescent="0.2">
      <c r="A28" s="203" t="s">
        <v>9</v>
      </c>
      <c r="B28" s="157" t="s">
        <v>57</v>
      </c>
      <c r="C28" s="51"/>
      <c r="D28" s="204" t="s">
        <v>52</v>
      </c>
      <c r="E28" s="205">
        <f>IF($C$27="T",C28*($E$27/3),C28*$E$27)</f>
        <v>0</v>
      </c>
      <c r="F28" s="206"/>
      <c r="G28" s="207"/>
      <c r="H28" s="207"/>
      <c r="I28" s="207"/>
      <c r="J28" s="207"/>
      <c r="K28" s="208" t="s">
        <v>53</v>
      </c>
      <c r="L28" s="209">
        <f>DONNEES!E29+DONNEES!E35+DONNEES!E41</f>
        <v>0</v>
      </c>
      <c r="M28" s="168"/>
      <c r="N28" s="168"/>
      <c r="O28" s="168"/>
      <c r="P28" s="168"/>
      <c r="Q28" s="168"/>
      <c r="R28" s="168"/>
      <c r="S28" s="168"/>
      <c r="T28" s="168"/>
      <c r="U28" s="168"/>
      <c r="V28" s="168"/>
      <c r="W28" s="168"/>
    </row>
    <row r="29" spans="1:23" ht="15.75" x14ac:dyDescent="0.2">
      <c r="A29" s="167" t="s">
        <v>528</v>
      </c>
      <c r="B29" s="210">
        <f>VLOOKUP($B28,Onduleur!A$2:M$100,11,FALSE)</f>
        <v>0</v>
      </c>
      <c r="C29" s="49"/>
      <c r="D29" s="166" t="s">
        <v>53</v>
      </c>
      <c r="E29" s="211">
        <f>IF($C$27="T",C29*($E$27/3),C29*$E$27)</f>
        <v>0</v>
      </c>
      <c r="F29" s="212"/>
      <c r="G29" s="213"/>
      <c r="H29" s="213"/>
      <c r="I29" s="213"/>
      <c r="J29" s="213"/>
      <c r="K29" s="208" t="s">
        <v>54</v>
      </c>
      <c r="L29" s="209">
        <f>DONNEES!E30+DONNEES!E36+DONNEES!E42</f>
        <v>0</v>
      </c>
      <c r="M29" s="168"/>
      <c r="N29" s="168"/>
      <c r="O29" s="168"/>
      <c r="P29" s="168"/>
      <c r="Q29" s="168"/>
      <c r="R29" s="168"/>
      <c r="S29" s="168"/>
      <c r="T29" s="168"/>
      <c r="U29" s="168"/>
      <c r="V29" s="168"/>
      <c r="W29" s="168"/>
    </row>
    <row r="30" spans="1:23" ht="13.5" thickBot="1" x14ac:dyDescent="0.25">
      <c r="A30" s="181" t="s">
        <v>3</v>
      </c>
      <c r="B30" s="48"/>
      <c r="C30" s="50"/>
      <c r="D30" s="214" t="s">
        <v>54</v>
      </c>
      <c r="E30" s="215">
        <f>IF($C$27="T",C30*($E$27/3),C30*$E$27)</f>
        <v>0</v>
      </c>
      <c r="F30" s="213"/>
      <c r="G30" s="213"/>
      <c r="H30" s="213"/>
      <c r="I30" s="213"/>
      <c r="J30" s="213"/>
      <c r="K30" s="216" t="s">
        <v>64</v>
      </c>
      <c r="L30" s="217">
        <f>SUM(L27:L29)</f>
        <v>0</v>
      </c>
      <c r="M30" s="168"/>
      <c r="N30" s="168"/>
      <c r="O30" s="168"/>
      <c r="P30" s="168"/>
      <c r="Q30" s="168"/>
      <c r="R30" s="168"/>
      <c r="S30" s="168"/>
      <c r="T30" s="168"/>
      <c r="U30" s="168"/>
      <c r="V30" s="168"/>
      <c r="W30" s="168"/>
    </row>
    <row r="31" spans="1:23" ht="30.75" customHeight="1" thickBot="1" x14ac:dyDescent="0.25">
      <c r="A31" s="400" t="str">
        <f>IF(C27="T",IF(AND(((C28+C29+C30)/3)=B30,C28=C29,C28=C30),"","Onduleur Triphasé, Vérifiez la répartition sur les phases"),IF((C30+C29+C28)&lt;&gt;B30,"ERREUR SUR REPARTITION DES PHASES",""))</f>
        <v/>
      </c>
      <c r="B31" s="401"/>
      <c r="C31" s="401"/>
      <c r="D31" s="401"/>
      <c r="E31" s="447"/>
      <c r="F31" s="206"/>
      <c r="G31" s="206"/>
      <c r="H31" s="206"/>
      <c r="I31" s="206"/>
      <c r="J31" s="206"/>
      <c r="K31" s="206"/>
      <c r="L31" s="206"/>
      <c r="M31" s="168"/>
      <c r="N31" s="168"/>
      <c r="O31" s="168"/>
      <c r="P31" s="168"/>
      <c r="Q31" s="168"/>
      <c r="R31" s="168"/>
      <c r="S31" s="168"/>
      <c r="T31" s="168"/>
      <c r="U31" s="168"/>
      <c r="V31" s="168"/>
      <c r="W31" s="168"/>
    </row>
    <row r="32" spans="1:23" ht="16.5" thickBot="1" x14ac:dyDescent="0.25">
      <c r="A32" s="403" t="s">
        <v>538</v>
      </c>
      <c r="B32" s="419"/>
      <c r="C32" s="196" t="s">
        <v>529</v>
      </c>
      <c r="D32" s="197">
        <f>VLOOKUP(B34,Onduleur!A$2:N$100,14,FALSE)*B36</f>
        <v>0</v>
      </c>
      <c r="E32" s="198" t="s">
        <v>61</v>
      </c>
      <c r="J32" s="206"/>
      <c r="K32" s="206"/>
      <c r="L32" s="206"/>
      <c r="M32" s="168"/>
      <c r="N32" s="168"/>
      <c r="O32" s="168"/>
      <c r="P32" s="168"/>
      <c r="Q32" s="168"/>
      <c r="R32" s="168"/>
      <c r="S32" s="168"/>
      <c r="T32" s="168"/>
      <c r="U32" s="168"/>
      <c r="V32" s="168"/>
      <c r="W32" s="168"/>
    </row>
    <row r="33" spans="1:23" ht="13.5" thickBot="1" x14ac:dyDescent="0.25">
      <c r="A33" s="165" t="s">
        <v>457</v>
      </c>
      <c r="B33" s="199" t="str">
        <f>VLOOKUP($B34,Onduleur!A$2:M$100,2,FALSE)</f>
        <v>NA</v>
      </c>
      <c r="C33" s="444">
        <f>VLOOKUP(B34,Onduleur!A$2:M$100,12,FALSE)</f>
        <v>0</v>
      </c>
      <c r="D33" s="418"/>
      <c r="E33" s="200">
        <f>VLOOKUP(B34,Onduleur!A$2:M$100,6,FALSE)/1000</f>
        <v>0</v>
      </c>
      <c r="F33" s="180"/>
      <c r="G33" s="180"/>
      <c r="H33" s="180"/>
      <c r="I33" s="180"/>
      <c r="J33" s="180"/>
      <c r="K33" s="180"/>
      <c r="L33" s="180"/>
      <c r="M33" s="168"/>
      <c r="N33" s="168"/>
      <c r="O33" s="168"/>
      <c r="P33" s="168"/>
      <c r="Q33" s="168"/>
      <c r="R33" s="168"/>
      <c r="S33" s="168"/>
      <c r="T33" s="168"/>
      <c r="U33" s="168"/>
      <c r="V33" s="168"/>
      <c r="W33" s="168"/>
    </row>
    <row r="34" spans="1:23" x14ac:dyDescent="0.2">
      <c r="A34" s="203" t="s">
        <v>9</v>
      </c>
      <c r="B34" s="157" t="s">
        <v>57</v>
      </c>
      <c r="C34" s="51"/>
      <c r="D34" s="173" t="s">
        <v>52</v>
      </c>
      <c r="E34" s="205">
        <f>IF($C$33="T",C34*($E$33/3),C34*$E$33)</f>
        <v>0</v>
      </c>
      <c r="F34" s="218"/>
      <c r="M34" s="168"/>
      <c r="N34" s="168"/>
      <c r="O34" s="168"/>
      <c r="P34" s="168"/>
      <c r="Q34" s="168"/>
      <c r="R34" s="168"/>
      <c r="S34" s="168"/>
      <c r="T34" s="168"/>
      <c r="U34" s="168"/>
      <c r="V34" s="168"/>
      <c r="W34" s="168"/>
    </row>
    <row r="35" spans="1:23" ht="15.75" x14ac:dyDescent="0.2">
      <c r="A35" s="167" t="s">
        <v>528</v>
      </c>
      <c r="B35" s="210">
        <f>VLOOKUP($B34,Onduleur!A$2:M$100,11,FALSE)</f>
        <v>0</v>
      </c>
      <c r="C35" s="49"/>
      <c r="D35" s="184" t="s">
        <v>53</v>
      </c>
      <c r="E35" s="211">
        <f>IF($C$33="T",C35*($E$33/3),C35*$E$33)</f>
        <v>0</v>
      </c>
      <c r="F35" s="218"/>
      <c r="M35" s="168"/>
      <c r="N35" s="168"/>
      <c r="O35" s="168"/>
      <c r="P35" s="168"/>
      <c r="Q35" s="168"/>
      <c r="R35" s="168"/>
      <c r="S35" s="168"/>
      <c r="T35" s="168"/>
      <c r="U35" s="168"/>
      <c r="V35" s="168"/>
      <c r="W35" s="168"/>
    </row>
    <row r="36" spans="1:23" ht="13.5" thickBot="1" x14ac:dyDescent="0.25">
      <c r="A36" s="181" t="s">
        <v>3</v>
      </c>
      <c r="B36" s="48"/>
      <c r="C36" s="50"/>
      <c r="D36" s="219" t="s">
        <v>54</v>
      </c>
      <c r="E36" s="215">
        <f>IF($C$33="T",C36*($E$33/3),C36*$E$33)</f>
        <v>0</v>
      </c>
      <c r="F36" s="218"/>
      <c r="M36" s="168"/>
      <c r="N36" s="168"/>
      <c r="O36" s="168"/>
      <c r="P36" s="168"/>
      <c r="Q36" s="168"/>
      <c r="R36" s="168"/>
      <c r="S36" s="168"/>
      <c r="T36" s="168"/>
      <c r="U36" s="168"/>
      <c r="V36" s="168"/>
      <c r="W36" s="168"/>
    </row>
    <row r="37" spans="1:23" ht="30.75" customHeight="1" thickBot="1" x14ac:dyDescent="0.25">
      <c r="A37" s="448" t="str">
        <f>IF(C33="T",IF(AND(((C34+C35+C36)/3)=B36,C34=C35,C34=C36),"","ATTENTION Onduleur Triphasé, Verifier la repartition sur les Phases"),IF((C36+C35+C34)&lt;&gt;B36,"ERREUR SUR REPARTITION DES PHASES",""))</f>
        <v/>
      </c>
      <c r="B37" s="449"/>
      <c r="C37" s="449"/>
      <c r="D37" s="449"/>
      <c r="E37" s="447"/>
      <c r="F37" s="218"/>
      <c r="M37" s="168"/>
      <c r="N37" s="168"/>
      <c r="O37" s="168"/>
      <c r="P37" s="168"/>
      <c r="Q37" s="168"/>
      <c r="R37" s="168"/>
      <c r="S37" s="168"/>
      <c r="T37" s="168"/>
      <c r="U37" s="168"/>
      <c r="V37" s="168"/>
      <c r="W37" s="168"/>
    </row>
    <row r="38" spans="1:23" ht="16.5" thickBot="1" x14ac:dyDescent="0.25">
      <c r="A38" s="403" t="s">
        <v>537</v>
      </c>
      <c r="B38" s="419"/>
      <c r="C38" s="196" t="s">
        <v>529</v>
      </c>
      <c r="D38" s="197">
        <f>VLOOKUP(B40,Onduleur!A$2:N$100,14,FALSE)*B42</f>
        <v>0</v>
      </c>
      <c r="E38" s="198" t="s">
        <v>61</v>
      </c>
      <c r="F38" s="218"/>
      <c r="M38" s="168"/>
      <c r="N38" s="168"/>
      <c r="O38" s="168"/>
      <c r="P38" s="168"/>
      <c r="Q38" s="168"/>
      <c r="R38" s="168"/>
      <c r="S38" s="168"/>
      <c r="T38" s="168"/>
      <c r="U38" s="168"/>
      <c r="V38" s="168"/>
      <c r="W38" s="168"/>
    </row>
    <row r="39" spans="1:23" ht="13.5" thickBot="1" x14ac:dyDescent="0.25">
      <c r="A39" s="165" t="s">
        <v>457</v>
      </c>
      <c r="B39" s="199" t="str">
        <f>VLOOKUP($B40,Onduleur!A$2:M$100,2,FALSE)</f>
        <v>NA</v>
      </c>
      <c r="C39" s="444">
        <f>VLOOKUP(B40,Onduleur!A$2:M$100,12,FALSE)</f>
        <v>0</v>
      </c>
      <c r="D39" s="418"/>
      <c r="E39" s="200">
        <f>VLOOKUP(B40,Onduleur!A$2:M$100,6,FALSE)/1000</f>
        <v>0</v>
      </c>
      <c r="F39" s="218"/>
      <c r="M39" s="168"/>
      <c r="N39" s="168"/>
      <c r="O39" s="168"/>
      <c r="P39" s="168"/>
      <c r="Q39" s="168"/>
      <c r="R39" s="168"/>
      <c r="S39" s="168"/>
      <c r="T39" s="168"/>
      <c r="U39" s="168"/>
      <c r="V39" s="168"/>
      <c r="W39" s="168"/>
    </row>
    <row r="40" spans="1:23" x14ac:dyDescent="0.2">
      <c r="A40" s="203" t="s">
        <v>9</v>
      </c>
      <c r="B40" s="157" t="s">
        <v>57</v>
      </c>
      <c r="C40" s="51"/>
      <c r="D40" s="173" t="s">
        <v>52</v>
      </c>
      <c r="E40" s="205">
        <f>IF($C$39="T",C40*($E$39/3),C40*$E$39)</f>
        <v>0</v>
      </c>
      <c r="F40" s="220"/>
      <c r="G40" s="221"/>
      <c r="H40" s="221"/>
      <c r="I40" s="221"/>
      <c r="J40" s="221"/>
      <c r="K40" s="221"/>
      <c r="L40" s="221"/>
      <c r="M40" s="168"/>
      <c r="N40" s="168"/>
      <c r="O40" s="168"/>
      <c r="P40" s="168"/>
      <c r="Q40" s="168"/>
      <c r="R40" s="168"/>
      <c r="S40" s="168"/>
      <c r="T40" s="168"/>
      <c r="U40" s="168"/>
      <c r="V40" s="168"/>
      <c r="W40" s="168"/>
    </row>
    <row r="41" spans="1:23" ht="15.75" x14ac:dyDescent="0.2">
      <c r="A41" s="167" t="s">
        <v>528</v>
      </c>
      <c r="B41" s="210">
        <f>VLOOKUP($B40,Onduleur!A$2:M$100,11,FALSE)</f>
        <v>0</v>
      </c>
      <c r="C41" s="49"/>
      <c r="D41" s="184" t="s">
        <v>53</v>
      </c>
      <c r="E41" s="211">
        <f>IF($C$39="T",C41*($E$39/3),C41*$E$39)</f>
        <v>0</v>
      </c>
      <c r="F41" s="222"/>
      <c r="G41" s="223"/>
      <c r="H41" s="223"/>
      <c r="I41" s="223"/>
      <c r="J41" s="223"/>
      <c r="K41" s="223"/>
      <c r="L41" s="223"/>
      <c r="M41" s="168"/>
      <c r="N41" s="168"/>
      <c r="O41" s="168"/>
      <c r="P41" s="168"/>
      <c r="Q41" s="168"/>
      <c r="R41" s="168"/>
      <c r="S41" s="168"/>
      <c r="T41" s="168"/>
      <c r="U41" s="168"/>
      <c r="V41" s="168"/>
      <c r="W41" s="168"/>
    </row>
    <row r="42" spans="1:23" ht="13.5" thickBot="1" x14ac:dyDescent="0.25">
      <c r="A42" s="181" t="s">
        <v>3</v>
      </c>
      <c r="B42" s="48"/>
      <c r="C42" s="50"/>
      <c r="D42" s="219" t="s">
        <v>54</v>
      </c>
      <c r="E42" s="215">
        <f>IF($C$39="T",C42*($E$39/3),C42*$E$39)</f>
        <v>0</v>
      </c>
      <c r="F42" s="222"/>
      <c r="G42" s="223"/>
      <c r="H42" s="223"/>
      <c r="I42" s="223"/>
      <c r="J42" s="223"/>
      <c r="K42" s="223"/>
      <c r="L42" s="223"/>
      <c r="M42" s="168"/>
      <c r="N42" s="168"/>
      <c r="O42" s="168"/>
      <c r="P42" s="168"/>
      <c r="Q42" s="168"/>
      <c r="R42" s="168"/>
      <c r="S42" s="168"/>
      <c r="T42" s="168"/>
      <c r="U42" s="168"/>
      <c r="V42" s="168"/>
      <c r="W42" s="168"/>
    </row>
    <row r="43" spans="1:23" ht="28.5" customHeight="1" thickBot="1" x14ac:dyDescent="0.25">
      <c r="A43" s="400" t="str">
        <f>IF(C39="T",IF(AND(((C40+C41+C42)/3)=B42,C40=C41,C40=C42),"","ATTENTION Onduleur Triphasé, Verifier la repartition sur les Phases"),IF((C42+C41+C40)&lt;&gt;B42,"ERREUR SUR REPARTITION DES PHASES",""))</f>
        <v/>
      </c>
      <c r="B43" s="401"/>
      <c r="C43" s="401"/>
      <c r="D43" s="401"/>
      <c r="E43" s="447"/>
      <c r="F43" s="222"/>
      <c r="G43" s="223"/>
      <c r="H43" s="223"/>
      <c r="I43" s="223"/>
      <c r="J43" s="223"/>
      <c r="K43" s="223"/>
      <c r="L43" s="223"/>
      <c r="M43" s="168"/>
      <c r="N43" s="168"/>
      <c r="O43" s="168"/>
      <c r="P43" s="168"/>
      <c r="Q43" s="168"/>
      <c r="R43" s="168"/>
      <c r="S43" s="168"/>
      <c r="T43" s="168"/>
      <c r="U43" s="168"/>
      <c r="V43" s="168"/>
      <c r="W43" s="168"/>
    </row>
    <row r="44" spans="1:23" ht="13.5" thickBot="1" x14ac:dyDescent="0.25">
      <c r="A44" s="403" t="s">
        <v>440</v>
      </c>
      <c r="B44" s="404"/>
      <c r="C44" s="224"/>
      <c r="D44" s="225"/>
      <c r="E44" s="226"/>
      <c r="F44" s="222"/>
      <c r="G44" s="223"/>
      <c r="H44" s="223"/>
      <c r="I44" s="223"/>
      <c r="J44" s="223"/>
      <c r="K44" s="223"/>
      <c r="L44" s="223"/>
      <c r="M44" s="168"/>
      <c r="N44" s="168"/>
      <c r="O44" s="168"/>
      <c r="P44" s="168"/>
      <c r="Q44" s="168"/>
      <c r="R44" s="168"/>
      <c r="S44" s="168"/>
      <c r="T44" s="168"/>
      <c r="U44" s="168"/>
      <c r="V44" s="168"/>
      <c r="W44" s="168"/>
    </row>
    <row r="45" spans="1:23" ht="13.5" thickBot="1" x14ac:dyDescent="0.25">
      <c r="A45" s="165" t="s">
        <v>457</v>
      </c>
      <c r="B45" s="199" t="e">
        <f>VLOOKUP($B46,Onduleur!A$2:M$100,2,FALSE)</f>
        <v>#N/A</v>
      </c>
      <c r="E45" s="186"/>
      <c r="F45" s="222"/>
      <c r="G45" s="223"/>
      <c r="H45" s="227"/>
      <c r="I45" s="223"/>
      <c r="J45" s="223"/>
      <c r="K45" s="223"/>
      <c r="L45" s="223"/>
      <c r="M45" s="168"/>
      <c r="N45" s="168"/>
      <c r="O45" s="168"/>
      <c r="P45" s="168"/>
      <c r="Q45" s="168"/>
      <c r="R45" s="168"/>
      <c r="S45" s="168"/>
      <c r="T45" s="168"/>
      <c r="U45" s="168"/>
      <c r="V45" s="168"/>
      <c r="W45" s="168"/>
    </row>
    <row r="46" spans="1:23" x14ac:dyDescent="0.2">
      <c r="A46" s="406" t="s">
        <v>9</v>
      </c>
      <c r="B46" s="405"/>
      <c r="C46" s="51"/>
      <c r="D46" s="228" t="s">
        <v>52</v>
      </c>
      <c r="E46" s="229"/>
      <c r="F46" s="222"/>
      <c r="G46" s="223"/>
      <c r="H46" s="223"/>
      <c r="I46" s="223"/>
      <c r="J46" s="223"/>
      <c r="K46" s="223"/>
      <c r="L46" s="223"/>
      <c r="M46" s="168"/>
      <c r="N46" s="168"/>
      <c r="O46" s="168"/>
      <c r="P46" s="168"/>
      <c r="Q46" s="168"/>
      <c r="R46" s="168"/>
      <c r="S46" s="168"/>
      <c r="T46" s="168"/>
      <c r="U46" s="168"/>
      <c r="V46" s="168"/>
      <c r="W46" s="168"/>
    </row>
    <row r="47" spans="1:23" x14ac:dyDescent="0.2">
      <c r="A47" s="407"/>
      <c r="B47" s="405"/>
      <c r="C47" s="49"/>
      <c r="D47" s="230" t="s">
        <v>53</v>
      </c>
      <c r="E47" s="229"/>
      <c r="F47" s="222"/>
      <c r="H47" s="223"/>
      <c r="I47" s="223"/>
      <c r="J47" s="223"/>
      <c r="K47" s="223"/>
      <c r="L47" s="223"/>
      <c r="M47" s="168"/>
      <c r="N47" s="168"/>
      <c r="O47" s="168"/>
      <c r="P47" s="168"/>
      <c r="Q47" s="168"/>
      <c r="R47" s="168"/>
      <c r="S47" s="168"/>
      <c r="T47" s="168"/>
      <c r="U47" s="168"/>
      <c r="V47" s="168"/>
      <c r="W47" s="168"/>
    </row>
    <row r="48" spans="1:23" ht="13.5" thickBot="1" x14ac:dyDescent="0.25">
      <c r="A48" s="181" t="s">
        <v>3</v>
      </c>
      <c r="B48" s="48"/>
      <c r="C48" s="50"/>
      <c r="D48" s="231" t="s">
        <v>54</v>
      </c>
      <c r="E48" s="229"/>
      <c r="F48" s="222"/>
      <c r="G48" s="223"/>
      <c r="H48" s="223"/>
      <c r="I48" s="223"/>
      <c r="J48" s="223"/>
      <c r="K48" s="223"/>
      <c r="L48" s="223"/>
      <c r="M48" s="223"/>
      <c r="N48" s="168"/>
      <c r="O48" s="168"/>
      <c r="P48" s="168"/>
      <c r="Q48" s="168"/>
      <c r="R48" s="168"/>
      <c r="S48" s="168"/>
      <c r="T48" s="168"/>
      <c r="U48" s="168"/>
      <c r="V48" s="168"/>
      <c r="W48" s="168"/>
    </row>
    <row r="49" spans="1:23" ht="25.5" customHeight="1" thickBot="1" x14ac:dyDescent="0.25">
      <c r="A49" s="400"/>
      <c r="B49" s="401"/>
      <c r="C49" s="401"/>
      <c r="D49" s="402"/>
      <c r="E49" s="232"/>
      <c r="F49" s="222"/>
      <c r="G49" s="223"/>
      <c r="H49" s="223"/>
      <c r="I49" s="223"/>
      <c r="J49" s="223"/>
      <c r="K49" s="223"/>
      <c r="L49" s="223"/>
      <c r="M49" s="223"/>
      <c r="N49" s="168"/>
      <c r="O49" s="168"/>
      <c r="P49" s="168"/>
      <c r="Q49" s="168"/>
      <c r="R49" s="168"/>
      <c r="S49" s="168"/>
      <c r="T49" s="168"/>
      <c r="U49" s="168"/>
      <c r="V49" s="168"/>
      <c r="W49" s="168"/>
    </row>
    <row r="50" spans="1:23" x14ac:dyDescent="0.2">
      <c r="A50" s="179" t="s">
        <v>495</v>
      </c>
      <c r="B50" s="375" t="s">
        <v>461</v>
      </c>
      <c r="C50" s="408"/>
      <c r="D50" s="409"/>
      <c r="F50" s="222"/>
      <c r="G50" s="223"/>
      <c r="H50" s="223"/>
      <c r="I50" s="223"/>
      <c r="J50" s="223"/>
      <c r="K50" s="223"/>
      <c r="L50" s="223"/>
      <c r="M50" s="223"/>
      <c r="N50" s="168"/>
      <c r="O50" s="168"/>
      <c r="P50" s="168"/>
      <c r="Q50" s="168"/>
      <c r="R50" s="168"/>
      <c r="S50" s="168"/>
      <c r="T50" s="168"/>
      <c r="U50" s="168"/>
      <c r="V50" s="168"/>
      <c r="W50" s="168"/>
    </row>
    <row r="51" spans="1:23" x14ac:dyDescent="0.2">
      <c r="A51" s="167" t="s">
        <v>457</v>
      </c>
      <c r="B51" s="379" t="str">
        <f>VLOOKUP(B50,Kit!A$2:M$100,2,FALSE)</f>
        <v>ADIWATT</v>
      </c>
      <c r="C51" s="380"/>
      <c r="D51" s="381"/>
      <c r="F51" s="222"/>
      <c r="G51" s="223"/>
      <c r="H51" s="223"/>
      <c r="I51" s="223"/>
      <c r="J51" s="223"/>
      <c r="K51" s="223"/>
      <c r="L51" s="223"/>
      <c r="M51" s="223"/>
      <c r="N51" s="168"/>
      <c r="O51" s="168"/>
      <c r="P51" s="168"/>
      <c r="Q51" s="168"/>
      <c r="R51" s="168"/>
      <c r="S51" s="168"/>
      <c r="T51" s="168"/>
      <c r="U51" s="168"/>
      <c r="V51" s="168"/>
      <c r="W51" s="168"/>
    </row>
    <row r="52" spans="1:23" x14ac:dyDescent="0.2">
      <c r="A52" s="167" t="s">
        <v>530</v>
      </c>
      <c r="B52" s="382">
        <f>B22*B16+B65*B71</f>
        <v>0</v>
      </c>
      <c r="C52" s="380"/>
      <c r="D52" s="381"/>
      <c r="F52" s="222"/>
      <c r="G52" s="223"/>
      <c r="H52" s="223"/>
      <c r="I52" s="223"/>
      <c r="J52" s="223"/>
      <c r="K52" s="223"/>
      <c r="L52" s="223"/>
      <c r="M52" s="223"/>
      <c r="N52" s="168"/>
      <c r="O52" s="168"/>
      <c r="P52" s="168"/>
      <c r="Q52" s="168"/>
      <c r="R52" s="168"/>
      <c r="S52" s="168"/>
      <c r="T52" s="168"/>
      <c r="U52" s="168"/>
      <c r="V52" s="168"/>
      <c r="W52" s="168"/>
    </row>
    <row r="53" spans="1:23" x14ac:dyDescent="0.2">
      <c r="A53" s="233" t="s">
        <v>531</v>
      </c>
      <c r="B53" s="383"/>
      <c r="C53" s="384"/>
      <c r="D53" s="385"/>
      <c r="F53" s="222"/>
      <c r="G53" s="223"/>
      <c r="H53" s="223"/>
      <c r="I53" s="223"/>
      <c r="J53" s="223"/>
      <c r="K53" s="223"/>
      <c r="L53" s="223"/>
      <c r="M53" s="223"/>
      <c r="N53" s="168"/>
      <c r="O53" s="168"/>
      <c r="P53" s="168"/>
      <c r="Q53" s="168"/>
      <c r="R53" s="168"/>
      <c r="S53" s="168"/>
      <c r="T53" s="168"/>
      <c r="U53" s="168"/>
      <c r="V53" s="168"/>
      <c r="W53" s="168"/>
    </row>
    <row r="54" spans="1:23" ht="13.5" thickBot="1" x14ac:dyDescent="0.25">
      <c r="A54" s="181" t="s">
        <v>532</v>
      </c>
      <c r="B54" s="386" t="s">
        <v>509</v>
      </c>
      <c r="C54" s="387"/>
      <c r="D54" s="388"/>
      <c r="F54" s="222"/>
      <c r="G54" s="223"/>
      <c r="H54" s="223"/>
      <c r="I54" s="223"/>
      <c r="J54" s="223"/>
      <c r="K54" s="223"/>
      <c r="L54" s="223"/>
      <c r="M54" s="223"/>
      <c r="N54" s="168"/>
      <c r="O54" s="168"/>
      <c r="P54" s="168"/>
      <c r="Q54" s="168"/>
      <c r="R54" s="168"/>
      <c r="S54" s="168"/>
      <c r="T54" s="168"/>
      <c r="U54" s="168"/>
      <c r="V54" s="168"/>
      <c r="W54" s="168"/>
    </row>
    <row r="55" spans="1:23" ht="13.5" thickBot="1" x14ac:dyDescent="0.25">
      <c r="F55" s="222"/>
      <c r="G55" s="223"/>
      <c r="H55" s="223"/>
      <c r="I55" s="223"/>
      <c r="J55" s="223"/>
      <c r="K55" s="223"/>
      <c r="L55" s="223"/>
      <c r="M55" s="223"/>
      <c r="N55" s="168"/>
      <c r="O55" s="168"/>
      <c r="P55" s="168"/>
      <c r="Q55" s="168"/>
      <c r="R55" s="168"/>
      <c r="S55" s="168"/>
      <c r="T55" s="168"/>
      <c r="U55" s="168"/>
      <c r="V55" s="168"/>
      <c r="W55" s="168"/>
    </row>
    <row r="56" spans="1:23" ht="15.75" x14ac:dyDescent="0.2">
      <c r="A56" s="165" t="s">
        <v>533</v>
      </c>
      <c r="B56" s="389"/>
      <c r="C56" s="390"/>
      <c r="D56" s="398"/>
      <c r="E56" s="399"/>
      <c r="F56" s="222"/>
      <c r="G56" s="223"/>
      <c r="H56" s="223"/>
      <c r="I56" s="223"/>
      <c r="J56" s="223"/>
      <c r="K56" s="223"/>
      <c r="L56" s="223"/>
      <c r="M56" s="223"/>
      <c r="N56" s="168"/>
      <c r="O56" s="168"/>
      <c r="P56" s="168"/>
      <c r="Q56" s="168"/>
      <c r="R56" s="168"/>
      <c r="S56" s="168"/>
      <c r="T56" s="168"/>
      <c r="U56" s="168"/>
      <c r="V56" s="168"/>
      <c r="W56" s="168"/>
    </row>
    <row r="57" spans="1:23" ht="13.5" thickBot="1" x14ac:dyDescent="0.25">
      <c r="A57" s="169" t="s">
        <v>45</v>
      </c>
      <c r="B57" s="391">
        <f>B56*(B12*1000)</f>
        <v>0</v>
      </c>
      <c r="C57" s="392"/>
      <c r="F57" s="222"/>
      <c r="G57" s="223"/>
      <c r="H57" s="223"/>
      <c r="I57" s="223"/>
      <c r="J57" s="223"/>
      <c r="K57" s="223"/>
      <c r="L57" s="223"/>
      <c r="M57" s="223"/>
      <c r="N57" s="168"/>
      <c r="O57" s="168"/>
      <c r="P57" s="168"/>
      <c r="Q57" s="168"/>
      <c r="R57" s="168"/>
      <c r="S57" s="168"/>
      <c r="T57" s="168"/>
      <c r="U57" s="168"/>
      <c r="V57" s="168"/>
      <c r="W57" s="168"/>
    </row>
    <row r="58" spans="1:23" ht="13.5" thickBot="1" x14ac:dyDescent="0.25">
      <c r="A58" s="234"/>
      <c r="B58" s="234"/>
      <c r="F58" s="222"/>
      <c r="G58" s="223"/>
      <c r="H58" s="223"/>
      <c r="I58" s="223"/>
      <c r="J58" s="223"/>
      <c r="K58" s="223"/>
      <c r="L58" s="235" t="s">
        <v>90</v>
      </c>
      <c r="M58" s="223"/>
      <c r="N58" s="168"/>
      <c r="O58" s="168"/>
      <c r="P58" s="168"/>
      <c r="Q58" s="168"/>
      <c r="R58" s="168"/>
      <c r="S58" s="168"/>
      <c r="T58" s="168"/>
      <c r="U58" s="168"/>
      <c r="V58" s="168"/>
      <c r="W58" s="168"/>
    </row>
    <row r="59" spans="1:23" ht="14.25" thickTop="1" thickBot="1" x14ac:dyDescent="0.25">
      <c r="A59" s="163" t="s">
        <v>534</v>
      </c>
      <c r="B59" s="162" t="s">
        <v>540</v>
      </c>
      <c r="C59" s="236"/>
      <c r="D59" s="393"/>
      <c r="E59" s="393"/>
      <c r="F59" s="237" t="s">
        <v>35</v>
      </c>
      <c r="G59" s="238" t="s">
        <v>36</v>
      </c>
      <c r="H59" s="238" t="s">
        <v>37</v>
      </c>
      <c r="I59" s="238" t="s">
        <v>38</v>
      </c>
      <c r="J59" s="239" t="s">
        <v>47</v>
      </c>
      <c r="L59" s="240" t="s">
        <v>65</v>
      </c>
      <c r="M59" s="236"/>
      <c r="O59" s="168"/>
      <c r="P59" s="168"/>
      <c r="Q59" s="168"/>
      <c r="R59" s="168"/>
      <c r="S59" s="168"/>
      <c r="T59" s="168"/>
      <c r="U59" s="168"/>
      <c r="V59" s="168"/>
      <c r="W59" s="168"/>
    </row>
    <row r="60" spans="1:23" ht="13.5" thickBot="1" x14ac:dyDescent="0.25">
      <c r="F60" s="241" t="s">
        <v>541</v>
      </c>
      <c r="G60" s="242" t="s">
        <v>41</v>
      </c>
      <c r="H60" s="242" t="s">
        <v>98</v>
      </c>
      <c r="I60" s="242" t="s">
        <v>39</v>
      </c>
      <c r="J60" s="243"/>
      <c r="K60" s="244"/>
      <c r="L60" s="240" t="s">
        <v>547</v>
      </c>
      <c r="M60" s="236"/>
      <c r="O60" s="168"/>
      <c r="P60" s="168"/>
      <c r="Q60" s="168"/>
      <c r="R60" s="168"/>
      <c r="S60" s="168"/>
      <c r="T60" s="168"/>
      <c r="U60" s="168"/>
      <c r="V60" s="168"/>
      <c r="W60" s="168"/>
    </row>
    <row r="61" spans="1:23" ht="13.5" thickBot="1" x14ac:dyDescent="0.25">
      <c r="A61" s="165" t="s">
        <v>548</v>
      </c>
      <c r="B61" s="158" t="s">
        <v>65</v>
      </c>
      <c r="F61" s="245" t="s">
        <v>540</v>
      </c>
      <c r="G61" s="246" t="s">
        <v>40</v>
      </c>
      <c r="H61" s="246" t="s">
        <v>97</v>
      </c>
      <c r="I61" s="246" t="s">
        <v>39</v>
      </c>
      <c r="J61" s="247" t="s">
        <v>40</v>
      </c>
      <c r="K61" s="244"/>
      <c r="L61" s="240" t="s">
        <v>65</v>
      </c>
      <c r="M61" s="236"/>
      <c r="N61" s="244"/>
      <c r="O61" s="168"/>
      <c r="P61" s="168"/>
      <c r="Q61" s="168"/>
      <c r="R61" s="168"/>
      <c r="S61" s="168"/>
      <c r="T61" s="168"/>
      <c r="U61" s="168"/>
      <c r="V61" s="168"/>
      <c r="W61" s="168"/>
    </row>
    <row r="62" spans="1:23" ht="14.25" thickTop="1" thickBot="1" x14ac:dyDescent="0.25">
      <c r="A62" s="169" t="s">
        <v>549</v>
      </c>
      <c r="B62" s="159" t="s">
        <v>535</v>
      </c>
      <c r="L62" s="248" t="s">
        <v>535</v>
      </c>
      <c r="O62" s="168"/>
      <c r="P62" s="168"/>
      <c r="Q62" s="168"/>
      <c r="R62" s="168"/>
      <c r="S62" s="168"/>
      <c r="T62" s="168"/>
      <c r="U62" s="168"/>
      <c r="V62" s="168"/>
      <c r="W62" s="168"/>
    </row>
    <row r="63" spans="1:23" ht="13.5" thickBot="1" x14ac:dyDescent="0.25">
      <c r="H63" s="186"/>
      <c r="I63" s="186"/>
      <c r="L63" s="399"/>
      <c r="M63" s="399"/>
      <c r="N63" s="168"/>
      <c r="O63" s="168"/>
      <c r="P63" s="168"/>
      <c r="Q63" s="168"/>
      <c r="R63" s="168"/>
      <c r="S63" s="168"/>
      <c r="T63" s="168"/>
      <c r="U63" s="168"/>
      <c r="V63" s="168"/>
      <c r="W63" s="168"/>
    </row>
    <row r="64" spans="1:23" x14ac:dyDescent="0.2">
      <c r="A64" s="179" t="s">
        <v>536</v>
      </c>
      <c r="B64" s="375" t="s">
        <v>96</v>
      </c>
      <c r="C64" s="376"/>
      <c r="H64" s="186"/>
      <c r="I64" s="186"/>
      <c r="L64" s="399"/>
      <c r="M64" s="399"/>
      <c r="N64" s="168"/>
      <c r="O64" s="168"/>
      <c r="P64" s="168"/>
      <c r="Q64" s="168"/>
      <c r="R64" s="168"/>
      <c r="S64" s="168"/>
      <c r="T64" s="168"/>
      <c r="U64" s="168"/>
      <c r="V64" s="168"/>
      <c r="W64" s="168"/>
    </row>
    <row r="65" spans="1:23" ht="13.5" thickBot="1" x14ac:dyDescent="0.25">
      <c r="A65" s="214" t="s">
        <v>3</v>
      </c>
      <c r="B65" s="377"/>
      <c r="C65" s="378"/>
      <c r="H65" s="186"/>
      <c r="I65" s="186"/>
      <c r="L65" s="399"/>
      <c r="M65" s="399"/>
      <c r="N65" s="168"/>
      <c r="O65" s="168"/>
      <c r="P65" s="168"/>
      <c r="Q65" s="168"/>
      <c r="R65" s="168"/>
      <c r="S65" s="168"/>
      <c r="T65" s="168"/>
      <c r="U65" s="168"/>
      <c r="V65" s="168"/>
      <c r="W65" s="168"/>
    </row>
    <row r="66" spans="1:23" x14ac:dyDescent="0.2">
      <c r="A66" s="184" t="s">
        <v>0</v>
      </c>
      <c r="B66" s="249">
        <f>VLOOKUP($B$64,Panneaux!A$2:M$100,11,FALSE)</f>
        <v>0</v>
      </c>
      <c r="C66" s="172"/>
      <c r="I66" s="186"/>
      <c r="L66" s="399"/>
      <c r="M66" s="399"/>
      <c r="N66" s="168"/>
      <c r="O66" s="168"/>
      <c r="P66" s="168"/>
      <c r="Q66" s="168"/>
      <c r="R66" s="168"/>
      <c r="S66" s="168"/>
      <c r="T66" s="168"/>
      <c r="U66" s="168"/>
      <c r="V66" s="168"/>
      <c r="W66" s="168"/>
    </row>
    <row r="67" spans="1:23" x14ac:dyDescent="0.2">
      <c r="A67" s="187" t="s">
        <v>457</v>
      </c>
      <c r="B67" s="249">
        <f>VLOOKUP($B$64,Panneaux!A$2:M$100,9,FALSE)</f>
        <v>0</v>
      </c>
      <c r="C67" s="172"/>
      <c r="I67" s="186"/>
      <c r="L67" s="399"/>
      <c r="M67" s="399"/>
      <c r="N67" s="168"/>
      <c r="O67" s="168"/>
      <c r="P67" s="168"/>
      <c r="Q67" s="168"/>
      <c r="R67" s="168"/>
      <c r="S67" s="168"/>
      <c r="T67" s="168"/>
      <c r="U67" s="168"/>
      <c r="V67" s="168"/>
      <c r="W67" s="168"/>
    </row>
    <row r="68" spans="1:23" x14ac:dyDescent="0.2">
      <c r="A68" s="187" t="s">
        <v>9</v>
      </c>
      <c r="B68" s="249">
        <f>VLOOKUP($B$64,Panneaux!A$2:M$100,2,FALSE)</f>
        <v>0</v>
      </c>
      <c r="C68" s="172"/>
      <c r="I68" s="186"/>
      <c r="L68" s="399"/>
      <c r="M68" s="399"/>
      <c r="N68" s="168"/>
      <c r="O68" s="168"/>
      <c r="P68" s="168"/>
      <c r="Q68" s="168"/>
      <c r="R68" s="168"/>
      <c r="S68" s="168"/>
      <c r="T68" s="168"/>
      <c r="U68" s="168"/>
      <c r="V68" s="168"/>
      <c r="W68" s="168"/>
    </row>
    <row r="69" spans="1:23" ht="15.75" x14ac:dyDescent="0.2">
      <c r="A69" s="187" t="s">
        <v>524</v>
      </c>
      <c r="B69" s="250">
        <f>VLOOKUP(B64,Panneaux!A$2:M$100,8,FALSE)</f>
        <v>0</v>
      </c>
      <c r="C69" s="251" t="s">
        <v>526</v>
      </c>
      <c r="I69" s="186"/>
      <c r="L69" s="399"/>
      <c r="M69" s="399"/>
      <c r="N69" s="168"/>
      <c r="O69" s="168"/>
      <c r="P69" s="168"/>
      <c r="Q69" s="168"/>
      <c r="R69" s="168"/>
      <c r="S69" s="168"/>
      <c r="T69" s="168"/>
      <c r="U69" s="168"/>
      <c r="V69" s="168"/>
      <c r="W69" s="168"/>
    </row>
    <row r="70" spans="1:23" x14ac:dyDescent="0.2">
      <c r="A70" s="187" t="s">
        <v>93</v>
      </c>
      <c r="B70" s="250">
        <f>VLOOKUP(B64,Panneaux!A$2:M$100,4,FALSE)</f>
        <v>0</v>
      </c>
      <c r="C70" s="251" t="s">
        <v>172</v>
      </c>
      <c r="I70" s="186"/>
      <c r="L70" s="399"/>
      <c r="M70" s="399"/>
      <c r="N70" s="168"/>
      <c r="O70" s="168"/>
      <c r="P70" s="168"/>
      <c r="Q70" s="168"/>
      <c r="R70" s="168"/>
      <c r="S70" s="168"/>
      <c r="T70" s="168"/>
      <c r="U70" s="168"/>
      <c r="V70" s="168"/>
      <c r="W70" s="168"/>
    </row>
    <row r="71" spans="1:23" ht="13.5" thickBot="1" x14ac:dyDescent="0.25">
      <c r="A71" s="190" t="s">
        <v>525</v>
      </c>
      <c r="B71" s="252">
        <f>VLOOKUP($B$64,Panneaux!A$2:M$1008,6,FALSE)</f>
        <v>0</v>
      </c>
      <c r="C71" s="253" t="s">
        <v>5</v>
      </c>
    </row>
    <row r="90" spans="6:6" x14ac:dyDescent="0.2">
      <c r="F90" s="222"/>
    </row>
    <row r="91" spans="6:6" x14ac:dyDescent="0.2">
      <c r="F91" s="222"/>
    </row>
    <row r="92" spans="6:6" x14ac:dyDescent="0.2">
      <c r="F92" s="168"/>
    </row>
    <row r="93" spans="6:6" x14ac:dyDescent="0.2">
      <c r="F93" s="168"/>
    </row>
  </sheetData>
  <sheetProtection selectLockedCells="1"/>
  <dataConsolidate/>
  <mergeCells count="62">
    <mergeCell ref="G13:J13"/>
    <mergeCell ref="C27:D27"/>
    <mergeCell ref="K26:L26"/>
    <mergeCell ref="L70:M70"/>
    <mergeCell ref="L63:M63"/>
    <mergeCell ref="L64:M64"/>
    <mergeCell ref="L65:M65"/>
    <mergeCell ref="L66:M66"/>
    <mergeCell ref="L67:M67"/>
    <mergeCell ref="L68:M68"/>
    <mergeCell ref="L69:M69"/>
    <mergeCell ref="C33:D33"/>
    <mergeCell ref="C39:D39"/>
    <mergeCell ref="A31:E31"/>
    <mergeCell ref="A37:E37"/>
    <mergeCell ref="A43:E43"/>
    <mergeCell ref="B7:D7"/>
    <mergeCell ref="B9:D9"/>
    <mergeCell ref="J2:L2"/>
    <mergeCell ref="J3:L3"/>
    <mergeCell ref="J4:L4"/>
    <mergeCell ref="J5:L5"/>
    <mergeCell ref="F5:G5"/>
    <mergeCell ref="J6:L6"/>
    <mergeCell ref="J7:L7"/>
    <mergeCell ref="G9:L9"/>
    <mergeCell ref="B8:D8"/>
    <mergeCell ref="F4:G4"/>
    <mergeCell ref="F3:G3"/>
    <mergeCell ref="F2:G2"/>
    <mergeCell ref="F6:G6"/>
    <mergeCell ref="B6:D6"/>
    <mergeCell ref="B1:D1"/>
    <mergeCell ref="B5:D5"/>
    <mergeCell ref="B4:D4"/>
    <mergeCell ref="B2:D2"/>
    <mergeCell ref="B3:D3"/>
    <mergeCell ref="F7:G7"/>
    <mergeCell ref="B15:C15"/>
    <mergeCell ref="B16:C16"/>
    <mergeCell ref="D56:E56"/>
    <mergeCell ref="A49:D49"/>
    <mergeCell ref="A44:B44"/>
    <mergeCell ref="B46:B47"/>
    <mergeCell ref="A46:A47"/>
    <mergeCell ref="B50:D50"/>
    <mergeCell ref="B10:D10"/>
    <mergeCell ref="B11:D11"/>
    <mergeCell ref="A25:D25"/>
    <mergeCell ref="F14:G14"/>
    <mergeCell ref="A26:B26"/>
    <mergeCell ref="A32:B32"/>
    <mergeCell ref="A38:B38"/>
    <mergeCell ref="B64:C64"/>
    <mergeCell ref="B65:C65"/>
    <mergeCell ref="B51:D51"/>
    <mergeCell ref="B52:D52"/>
    <mergeCell ref="B53:D53"/>
    <mergeCell ref="B54:D54"/>
    <mergeCell ref="B56:C56"/>
    <mergeCell ref="B57:C57"/>
    <mergeCell ref="D59:E59"/>
  </mergeCells>
  <phoneticPr fontId="9" type="noConversion"/>
  <dataValidations count="8">
    <dataValidation type="list" allowBlank="1" showInputMessage="1" showErrorMessage="1" sqref="B64 B15" xr:uid="{00000000-0002-0000-0000-000000000000}">
      <formula1>PV</formula1>
    </dataValidation>
    <dataValidation type="list" allowBlank="1" showInputMessage="1" showErrorMessage="1" sqref="F3" xr:uid="{00000000-0002-0000-0000-000001000000}">
      <formula1>Comm</formula1>
    </dataValidation>
    <dataValidation type="list" allowBlank="1" showInputMessage="1" showErrorMessage="1" sqref="B24" xr:uid="{00000000-0002-0000-0000-000002000000}">
      <formula1>$C$23:$C$24</formula1>
    </dataValidation>
    <dataValidation type="list" allowBlank="1" showInputMessage="1" showErrorMessage="1" sqref="B50" xr:uid="{00000000-0002-0000-0000-000003000000}">
      <formula1>Kit</formula1>
    </dataValidation>
    <dataValidation type="list" allowBlank="1" showInputMessage="1" showErrorMessage="1" sqref="B46 B28 B34 B40" xr:uid="{00000000-0002-0000-0000-000004000000}">
      <formula1>Ond</formula1>
    </dataValidation>
    <dataValidation showInputMessage="1" showErrorMessage="1" sqref="B30 B36 B42 B48 C40:C42 C34:C36 C28:C30 C46:C48" xr:uid="{00000000-0002-0000-0000-000005000000}"/>
    <dataValidation type="list" allowBlank="1" showInputMessage="1" showErrorMessage="1" sqref="B59" xr:uid="{00000000-0002-0000-0000-000007000000}">
      <formula1>$F$59:$F$61</formula1>
    </dataValidation>
    <dataValidation type="list" allowBlank="1" showInputMessage="1" showErrorMessage="1" sqref="B61:B62" xr:uid="{00000000-0002-0000-0000-000006000000}">
      <formula1>$L$58:$L$62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4" verticalDpi="360" r:id="rId1"/>
  <headerFooter alignWithMargins="0"/>
  <ignoredErrors>
    <ignoredError sqref="B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outon 3">
              <controlPr defaultSize="0" print="0" autoFill="0" autoPict="0" macro="[0]!Bouton3_Clic">
                <anchor moveWithCells="1" sizeWithCells="1">
                  <from>
                    <xdr:col>4</xdr:col>
                    <xdr:colOff>400050</xdr:colOff>
                    <xdr:row>7</xdr:row>
                    <xdr:rowOff>85725</xdr:rowOff>
                  </from>
                  <to>
                    <xdr:col>5</xdr:col>
                    <xdr:colOff>923925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Button 9">
              <controlPr defaultSize="0" print="0" autoFill="0" autoPict="0" macro="[0]!Import">
                <anchor moveWithCells="1" sizeWithCells="1">
                  <from>
                    <xdr:col>7</xdr:col>
                    <xdr:colOff>495300</xdr:colOff>
                    <xdr:row>1</xdr:row>
                    <xdr:rowOff>161925</xdr:rowOff>
                  </from>
                  <to>
                    <xdr:col>8</xdr:col>
                    <xdr:colOff>771525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BW344"/>
  <sheetViews>
    <sheetView tabSelected="1" view="pageBreakPreview" zoomScale="85" zoomScaleNormal="100" zoomScaleSheetLayoutView="85" zoomScalePageLayoutView="70" workbookViewId="0">
      <selection activeCell="AE35" sqref="AE35"/>
    </sheetView>
  </sheetViews>
  <sheetFormatPr baseColWidth="10" defaultColWidth="5.28515625" defaultRowHeight="15" customHeight="1" x14ac:dyDescent="0.2"/>
  <cols>
    <col min="1" max="8" width="5.28515625" style="254"/>
    <col min="9" max="9" width="7.7109375" style="254" customWidth="1"/>
    <col min="10" max="10" width="5" style="254" bestFit="1" customWidth="1"/>
    <col min="11" max="11" width="7.140625" style="254" customWidth="1"/>
    <col min="12" max="18" width="5.28515625" style="254"/>
    <col min="19" max="19" width="7.140625" style="254" customWidth="1"/>
    <col min="20" max="20" width="5.28515625" style="254"/>
    <col min="21" max="21" width="7" style="254" customWidth="1"/>
    <col min="22" max="16384" width="5.28515625" style="254"/>
  </cols>
  <sheetData>
    <row r="1" spans="1:54" ht="15" customHeight="1" thickBot="1" x14ac:dyDescent="0.25">
      <c r="A1" s="255"/>
      <c r="B1" s="546"/>
      <c r="C1" s="546"/>
      <c r="D1" s="546"/>
      <c r="E1" s="546"/>
      <c r="F1" s="546"/>
      <c r="G1" s="546"/>
      <c r="H1" s="546"/>
      <c r="I1" s="476" t="s">
        <v>668</v>
      </c>
      <c r="J1" s="451"/>
      <c r="K1" s="451"/>
      <c r="L1" s="451"/>
      <c r="M1" s="451"/>
      <c r="N1" s="451"/>
      <c r="O1" s="451"/>
      <c r="P1" s="471" t="s">
        <v>891</v>
      </c>
      <c r="Q1" s="471"/>
      <c r="R1" s="471"/>
      <c r="S1" s="471"/>
      <c r="T1" s="471"/>
      <c r="U1" s="471"/>
      <c r="V1" s="471"/>
      <c r="Y1" s="255"/>
      <c r="Z1" s="279"/>
      <c r="AA1" s="279"/>
      <c r="AB1" s="279"/>
      <c r="AC1" s="279"/>
      <c r="AD1" s="279"/>
      <c r="AE1" s="279"/>
      <c r="AF1" s="279"/>
      <c r="AG1" s="278"/>
      <c r="AH1" s="279"/>
      <c r="AI1" s="279"/>
      <c r="AJ1" s="279"/>
      <c r="AK1" s="279"/>
      <c r="AL1" s="279"/>
      <c r="AM1" s="279"/>
      <c r="AN1" s="282"/>
      <c r="AO1" s="282"/>
      <c r="AP1" s="282"/>
      <c r="AQ1" s="282"/>
      <c r="AR1" s="282"/>
      <c r="AS1" s="282"/>
      <c r="AT1" s="282"/>
    </row>
    <row r="2" spans="1:54" ht="15" customHeight="1" thickBot="1" x14ac:dyDescent="0.25">
      <c r="A2" s="278"/>
      <c r="B2" s="546"/>
      <c r="C2" s="546"/>
      <c r="D2" s="546"/>
      <c r="E2" s="546"/>
      <c r="F2" s="546"/>
      <c r="G2" s="546"/>
      <c r="H2" s="546"/>
      <c r="I2" s="476"/>
      <c r="J2" s="451"/>
      <c r="K2" s="451"/>
      <c r="L2" s="451"/>
      <c r="M2" s="451"/>
      <c r="N2" s="451"/>
      <c r="O2" s="451"/>
      <c r="P2" s="471"/>
      <c r="Q2" s="471"/>
      <c r="R2" s="471"/>
      <c r="S2" s="471"/>
      <c r="T2" s="471"/>
      <c r="U2" s="471"/>
      <c r="V2" s="471"/>
      <c r="W2" s="279"/>
      <c r="Z2" s="642" t="s">
        <v>707</v>
      </c>
      <c r="AA2" s="642"/>
      <c r="AB2" s="642"/>
      <c r="AC2" s="642"/>
      <c r="AD2" s="642"/>
      <c r="AE2" s="642"/>
      <c r="AF2" s="642"/>
      <c r="AG2" s="642"/>
      <c r="AH2" s="642"/>
      <c r="AI2" s="642"/>
      <c r="AJ2" s="642"/>
      <c r="AK2" s="642"/>
      <c r="AL2" s="642"/>
      <c r="AM2" s="642"/>
      <c r="AN2" s="642"/>
      <c r="AO2" s="642"/>
      <c r="AP2" s="642"/>
      <c r="AQ2" s="642"/>
      <c r="AR2" s="642"/>
      <c r="AS2" s="642"/>
      <c r="AT2" s="642"/>
      <c r="BA2" s="283"/>
    </row>
    <row r="3" spans="1:54" ht="15" customHeight="1" thickBot="1" x14ac:dyDescent="0.25">
      <c r="A3" s="279"/>
      <c r="B3" s="546"/>
      <c r="C3" s="546"/>
      <c r="D3" s="546"/>
      <c r="E3" s="546"/>
      <c r="F3" s="546"/>
      <c r="G3" s="546"/>
      <c r="H3" s="546"/>
      <c r="I3" s="451"/>
      <c r="J3" s="451"/>
      <c r="K3" s="451"/>
      <c r="L3" s="451"/>
      <c r="M3" s="451"/>
      <c r="N3" s="451"/>
      <c r="O3" s="451"/>
      <c r="P3" s="471"/>
      <c r="Q3" s="471"/>
      <c r="R3" s="471"/>
      <c r="S3" s="471"/>
      <c r="T3" s="471"/>
      <c r="U3" s="471"/>
      <c r="V3" s="471"/>
      <c r="W3" s="279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642"/>
      <c r="AM3" s="642"/>
      <c r="AN3" s="642"/>
      <c r="AO3" s="642"/>
      <c r="AP3" s="642"/>
      <c r="AQ3" s="642"/>
      <c r="AR3" s="642"/>
      <c r="AS3" s="642"/>
      <c r="AT3" s="642"/>
      <c r="BA3" s="283"/>
    </row>
    <row r="4" spans="1:54" ht="15" customHeight="1" thickBot="1" x14ac:dyDescent="0.25">
      <c r="A4" s="279"/>
      <c r="B4" s="279"/>
      <c r="C4" s="279"/>
      <c r="D4" s="279"/>
      <c r="E4" s="279"/>
      <c r="F4" s="279"/>
      <c r="G4" s="279"/>
      <c r="H4" s="279"/>
      <c r="I4" s="279"/>
      <c r="J4" s="279"/>
      <c r="K4" s="279"/>
      <c r="M4" s="279"/>
      <c r="N4" s="279"/>
      <c r="O4" s="279"/>
      <c r="P4" s="282"/>
      <c r="Q4" s="282"/>
      <c r="R4" s="282"/>
      <c r="S4" s="282"/>
      <c r="T4" s="282"/>
      <c r="U4" s="282"/>
      <c r="V4" s="282"/>
      <c r="W4" s="279"/>
      <c r="Z4" s="640" t="s">
        <v>701</v>
      </c>
      <c r="AA4" s="640"/>
      <c r="AB4" s="640"/>
      <c r="AC4" s="640"/>
      <c r="AD4" s="640"/>
      <c r="AE4" s="640"/>
      <c r="AF4" s="640"/>
      <c r="AG4" s="640"/>
      <c r="AH4" s="640"/>
      <c r="AI4" s="640"/>
      <c r="AJ4" s="640"/>
      <c r="AK4" s="640"/>
      <c r="AL4" s="640"/>
      <c r="AM4" s="640"/>
      <c r="AN4" s="640" t="s">
        <v>702</v>
      </c>
      <c r="AO4" s="640"/>
      <c r="AP4" s="640"/>
      <c r="AQ4" s="640"/>
      <c r="AR4" s="640"/>
      <c r="AS4" s="640"/>
      <c r="AT4" s="640"/>
      <c r="AX4" s="254" t="s">
        <v>844</v>
      </c>
      <c r="AZ4" s="254" t="s">
        <v>845</v>
      </c>
      <c r="BA4" s="283"/>
      <c r="BB4" s="254" t="s">
        <v>846</v>
      </c>
    </row>
    <row r="5" spans="1:54" ht="15" customHeight="1" x14ac:dyDescent="0.2">
      <c r="A5" s="279"/>
      <c r="B5" s="279"/>
      <c r="C5" s="279"/>
      <c r="D5" s="279"/>
      <c r="E5" s="279"/>
      <c r="F5" s="279"/>
      <c r="G5" s="279"/>
      <c r="H5" s="279"/>
      <c r="I5" s="279"/>
      <c r="J5" s="279"/>
      <c r="K5" s="279"/>
      <c r="L5" s="279"/>
      <c r="M5" s="279"/>
      <c r="N5" s="279"/>
      <c r="O5" s="279"/>
      <c r="P5" s="279"/>
      <c r="Q5" s="279"/>
      <c r="R5" s="279"/>
      <c r="S5" s="279"/>
      <c r="T5" s="279"/>
      <c r="U5" s="279"/>
      <c r="V5" s="279"/>
      <c r="W5" s="279"/>
      <c r="X5" s="283"/>
      <c r="Y5" s="283"/>
      <c r="Z5" s="631" t="s">
        <v>900</v>
      </c>
      <c r="AA5" s="632"/>
      <c r="AB5" s="632"/>
      <c r="AC5" s="632"/>
      <c r="AD5" s="632"/>
      <c r="AE5" s="632"/>
      <c r="AF5" s="632"/>
      <c r="AG5" s="632"/>
      <c r="AH5" s="632"/>
      <c r="AI5" s="632"/>
      <c r="AJ5" s="632"/>
      <c r="AK5" s="632"/>
      <c r="AL5" s="632"/>
      <c r="AM5" s="633"/>
      <c r="AN5" s="643" t="s">
        <v>899</v>
      </c>
      <c r="AO5" s="643"/>
      <c r="AP5" s="643"/>
      <c r="AQ5" s="643"/>
      <c r="AR5" s="643"/>
      <c r="AS5" s="643"/>
      <c r="AT5" s="644"/>
      <c r="AX5" s="254" t="s">
        <v>847</v>
      </c>
      <c r="AZ5" s="254" t="s">
        <v>841</v>
      </c>
      <c r="BA5" s="283"/>
      <c r="BB5" s="254" t="s">
        <v>843</v>
      </c>
    </row>
    <row r="6" spans="1:54" ht="15" customHeight="1" x14ac:dyDescent="0.2">
      <c r="A6" s="279"/>
      <c r="B6" s="279"/>
      <c r="C6" s="279"/>
      <c r="D6" s="279"/>
      <c r="E6" s="279"/>
      <c r="F6" s="279"/>
      <c r="G6" s="279"/>
      <c r="H6" s="279"/>
      <c r="I6" s="279"/>
      <c r="J6" s="279"/>
      <c r="K6" s="279"/>
      <c r="L6" s="279"/>
      <c r="M6" s="279"/>
      <c r="N6" s="279"/>
      <c r="O6" s="279"/>
      <c r="P6" s="279"/>
      <c r="Q6" s="279"/>
      <c r="R6" s="279"/>
      <c r="S6" s="279"/>
      <c r="T6" s="279"/>
      <c r="U6" s="279"/>
      <c r="V6" s="279"/>
      <c r="W6" s="279"/>
      <c r="X6" s="285"/>
      <c r="Y6" s="284"/>
      <c r="Z6" s="634"/>
      <c r="AA6" s="635"/>
      <c r="AB6" s="635"/>
      <c r="AC6" s="635"/>
      <c r="AD6" s="635"/>
      <c r="AE6" s="635"/>
      <c r="AF6" s="635"/>
      <c r="AG6" s="635"/>
      <c r="AH6" s="635"/>
      <c r="AI6" s="635"/>
      <c r="AJ6" s="635"/>
      <c r="AK6" s="635"/>
      <c r="AL6" s="635"/>
      <c r="AM6" s="636"/>
      <c r="AN6" s="645"/>
      <c r="AO6" s="645"/>
      <c r="AP6" s="645"/>
      <c r="AQ6" s="645"/>
      <c r="AR6" s="645"/>
      <c r="AS6" s="645"/>
      <c r="AT6" s="646"/>
      <c r="AU6" s="279"/>
      <c r="AX6" s="254" t="s">
        <v>877</v>
      </c>
      <c r="AZ6" s="254" t="s">
        <v>878</v>
      </c>
      <c r="BA6" s="283"/>
      <c r="BB6" s="254" t="s">
        <v>852</v>
      </c>
    </row>
    <row r="7" spans="1:54" ht="15" customHeight="1" x14ac:dyDescent="0.2">
      <c r="A7" s="279"/>
      <c r="B7" s="279"/>
      <c r="C7" s="279"/>
      <c r="D7" s="279"/>
      <c r="E7" s="279"/>
      <c r="F7" s="279"/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85"/>
      <c r="Y7" s="284"/>
      <c r="Z7" s="634"/>
      <c r="AA7" s="635"/>
      <c r="AB7" s="635"/>
      <c r="AC7" s="635"/>
      <c r="AD7" s="635"/>
      <c r="AE7" s="635"/>
      <c r="AF7" s="635"/>
      <c r="AG7" s="635"/>
      <c r="AH7" s="635"/>
      <c r="AI7" s="635"/>
      <c r="AJ7" s="635"/>
      <c r="AK7" s="635"/>
      <c r="AL7" s="635"/>
      <c r="AM7" s="636"/>
      <c r="AN7" s="645"/>
      <c r="AO7" s="645"/>
      <c r="AP7" s="645"/>
      <c r="AQ7" s="645"/>
      <c r="AR7" s="645"/>
      <c r="AS7" s="645"/>
      <c r="AT7" s="646"/>
      <c r="AU7" s="279"/>
      <c r="AX7" s="254" t="s">
        <v>879</v>
      </c>
      <c r="AZ7" s="254" t="s">
        <v>880</v>
      </c>
      <c r="BA7" s="284"/>
      <c r="BB7" s="254" t="s">
        <v>853</v>
      </c>
    </row>
    <row r="8" spans="1:54" ht="15" customHeight="1" thickBot="1" x14ac:dyDescent="0.25">
      <c r="A8" s="279"/>
      <c r="B8" s="279"/>
      <c r="C8" s="279"/>
      <c r="D8" s="279"/>
      <c r="E8" s="279"/>
      <c r="F8" s="279"/>
      <c r="G8" s="279"/>
      <c r="H8" s="279"/>
      <c r="I8" s="279"/>
      <c r="J8" s="279"/>
      <c r="K8" s="279"/>
      <c r="L8" s="279"/>
      <c r="M8" s="279"/>
      <c r="N8" s="279"/>
      <c r="O8" s="279"/>
      <c r="P8" s="279"/>
      <c r="Q8" s="279"/>
      <c r="R8" s="279"/>
      <c r="S8" s="279"/>
      <c r="T8" s="279"/>
      <c r="U8" s="279"/>
      <c r="V8" s="279"/>
      <c r="W8" s="279"/>
      <c r="X8" s="285"/>
      <c r="Y8" s="284"/>
      <c r="Z8" s="637"/>
      <c r="AA8" s="638"/>
      <c r="AB8" s="638"/>
      <c r="AC8" s="638"/>
      <c r="AD8" s="638"/>
      <c r="AE8" s="638"/>
      <c r="AF8" s="638"/>
      <c r="AG8" s="638"/>
      <c r="AH8" s="638"/>
      <c r="AI8" s="638"/>
      <c r="AJ8" s="638"/>
      <c r="AK8" s="638"/>
      <c r="AL8" s="638"/>
      <c r="AM8" s="639"/>
      <c r="AN8" s="647"/>
      <c r="AO8" s="647"/>
      <c r="AP8" s="647"/>
      <c r="AQ8" s="647"/>
      <c r="AR8" s="647"/>
      <c r="AS8" s="647"/>
      <c r="AT8" s="648"/>
      <c r="AU8" s="279"/>
      <c r="AX8" s="254" t="s">
        <v>848</v>
      </c>
      <c r="AZ8" s="254" t="s">
        <v>850</v>
      </c>
      <c r="BA8" s="285"/>
      <c r="BB8" s="254" t="s">
        <v>842</v>
      </c>
    </row>
    <row r="9" spans="1:54" ht="15" customHeight="1" x14ac:dyDescent="0.2">
      <c r="A9" s="279"/>
      <c r="B9" s="279"/>
      <c r="C9" s="279"/>
      <c r="D9" s="279"/>
      <c r="E9" s="279"/>
      <c r="F9" s="279"/>
      <c r="G9" s="279"/>
      <c r="H9" s="279"/>
      <c r="I9" s="279"/>
      <c r="J9" s="279"/>
      <c r="K9" s="279"/>
      <c r="L9" s="279"/>
      <c r="M9" s="279"/>
      <c r="N9" s="279"/>
      <c r="O9" s="279"/>
      <c r="P9" s="279"/>
      <c r="Q9" s="279"/>
      <c r="R9" s="279"/>
      <c r="S9" s="279"/>
      <c r="T9" s="279"/>
      <c r="U9" s="279"/>
      <c r="V9" s="279"/>
      <c r="W9" s="279"/>
      <c r="X9" s="285"/>
      <c r="Y9" s="284"/>
      <c r="Z9" s="456" t="s">
        <v>748</v>
      </c>
      <c r="AA9" s="457"/>
      <c r="AB9" s="457"/>
      <c r="AC9" s="457"/>
      <c r="AD9" s="486">
        <v>5061</v>
      </c>
      <c r="AE9" s="486"/>
      <c r="AF9" s="486"/>
      <c r="AG9" s="486"/>
      <c r="AH9" s="486"/>
      <c r="AI9" s="486"/>
      <c r="AJ9" s="486"/>
      <c r="AK9" s="480" t="s">
        <v>752</v>
      </c>
      <c r="AL9" s="481"/>
      <c r="AM9" s="481"/>
      <c r="AN9" s="481"/>
      <c r="AO9" s="482"/>
      <c r="AP9" s="478" t="s">
        <v>849</v>
      </c>
      <c r="AQ9" s="478"/>
      <c r="AR9" s="478"/>
      <c r="AS9" s="478"/>
      <c r="AT9" s="479"/>
      <c r="AU9" s="280"/>
      <c r="AX9" s="254" t="s">
        <v>849</v>
      </c>
      <c r="AZ9" s="254" t="s">
        <v>851</v>
      </c>
      <c r="BA9" s="285"/>
      <c r="BB9" s="254" t="s">
        <v>892</v>
      </c>
    </row>
    <row r="10" spans="1:54" ht="15" customHeight="1" x14ac:dyDescent="0.2">
      <c r="A10" s="279"/>
      <c r="B10" s="279"/>
      <c r="C10" s="279"/>
      <c r="D10" s="279"/>
      <c r="E10" s="279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85"/>
      <c r="Y10" s="284"/>
      <c r="Z10" s="450"/>
      <c r="AA10" s="451"/>
      <c r="AB10" s="451"/>
      <c r="AC10" s="451"/>
      <c r="AD10" s="487"/>
      <c r="AE10" s="487"/>
      <c r="AF10" s="487"/>
      <c r="AG10" s="487"/>
      <c r="AH10" s="487"/>
      <c r="AI10" s="487"/>
      <c r="AJ10" s="487"/>
      <c r="AK10" s="483"/>
      <c r="AL10" s="484"/>
      <c r="AM10" s="484"/>
      <c r="AN10" s="484"/>
      <c r="AO10" s="485"/>
      <c r="AP10" s="476"/>
      <c r="AQ10" s="476"/>
      <c r="AR10" s="476"/>
      <c r="AS10" s="476"/>
      <c r="AT10" s="477"/>
      <c r="AU10" s="280"/>
      <c r="AX10" s="254" t="s">
        <v>881</v>
      </c>
      <c r="AZ10" s="254" t="s">
        <v>882</v>
      </c>
      <c r="BA10" s="285"/>
      <c r="BB10" s="254" t="s">
        <v>855</v>
      </c>
    </row>
    <row r="11" spans="1:54" ht="15" customHeight="1" x14ac:dyDescent="0.2">
      <c r="A11" s="279"/>
      <c r="B11" s="279"/>
      <c r="C11" s="279"/>
      <c r="D11" s="279"/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R11" s="279"/>
      <c r="S11" s="279"/>
      <c r="T11" s="279"/>
      <c r="U11" s="279"/>
      <c r="V11" s="279"/>
      <c r="W11" s="279"/>
      <c r="X11" s="285"/>
      <c r="Y11" s="284"/>
      <c r="Z11" s="450" t="s">
        <v>749</v>
      </c>
      <c r="AA11" s="451"/>
      <c r="AB11" s="451"/>
      <c r="AC11" s="451"/>
      <c r="AD11" s="476" t="s">
        <v>902</v>
      </c>
      <c r="AE11" s="476"/>
      <c r="AF11" s="476"/>
      <c r="AG11" s="476"/>
      <c r="AH11" s="476"/>
      <c r="AI11" s="476"/>
      <c r="AJ11" s="476"/>
      <c r="AK11" s="451" t="s">
        <v>753</v>
      </c>
      <c r="AL11" s="451"/>
      <c r="AM11" s="451"/>
      <c r="AN11" s="451"/>
      <c r="AO11" s="451"/>
      <c r="AP11" s="476" t="s">
        <v>841</v>
      </c>
      <c r="AQ11" s="476"/>
      <c r="AR11" s="476"/>
      <c r="AS11" s="476"/>
      <c r="AT11" s="477"/>
      <c r="AU11" s="280"/>
      <c r="AX11" s="254" t="s">
        <v>857</v>
      </c>
      <c r="AZ11" s="254" t="s">
        <v>858</v>
      </c>
      <c r="BA11" s="285"/>
      <c r="BB11" s="254" t="s">
        <v>883</v>
      </c>
    </row>
    <row r="12" spans="1:54" ht="15" customHeight="1" x14ac:dyDescent="0.2">
      <c r="A12" s="279"/>
      <c r="B12" s="279"/>
      <c r="C12" s="279"/>
      <c r="D12" s="279"/>
      <c r="E12" s="279"/>
      <c r="F12" s="279"/>
      <c r="G12" s="279"/>
      <c r="H12" s="279"/>
      <c r="I12" s="279"/>
      <c r="J12" s="279"/>
      <c r="K12" s="279"/>
      <c r="L12" s="279"/>
      <c r="M12" s="279"/>
      <c r="N12" s="279"/>
      <c r="O12" s="279"/>
      <c r="P12" s="279"/>
      <c r="Q12" s="279"/>
      <c r="R12" s="279"/>
      <c r="S12" s="279"/>
      <c r="T12" s="279"/>
      <c r="U12" s="279"/>
      <c r="V12" s="279"/>
      <c r="W12" s="279"/>
      <c r="X12" s="285"/>
      <c r="Y12" s="284"/>
      <c r="Z12" s="450"/>
      <c r="AA12" s="451"/>
      <c r="AB12" s="451"/>
      <c r="AC12" s="451"/>
      <c r="AD12" s="476"/>
      <c r="AE12" s="476"/>
      <c r="AF12" s="476"/>
      <c r="AG12" s="476"/>
      <c r="AH12" s="476"/>
      <c r="AI12" s="476"/>
      <c r="AJ12" s="476"/>
      <c r="AK12" s="451"/>
      <c r="AL12" s="451"/>
      <c r="AM12" s="451"/>
      <c r="AN12" s="451"/>
      <c r="AO12" s="451"/>
      <c r="AP12" s="476"/>
      <c r="AQ12" s="476"/>
      <c r="AR12" s="476"/>
      <c r="AS12" s="476"/>
      <c r="AT12" s="477"/>
      <c r="AU12" s="280"/>
      <c r="AX12" s="254" t="s">
        <v>884</v>
      </c>
      <c r="AZ12" s="254" t="s">
        <v>885</v>
      </c>
      <c r="BA12" s="285"/>
      <c r="BB12" s="254" t="s">
        <v>894</v>
      </c>
    </row>
    <row r="13" spans="1:54" ht="15" customHeight="1" x14ac:dyDescent="0.2">
      <c r="A13" s="279"/>
      <c r="B13" s="279"/>
      <c r="C13" s="279"/>
      <c r="D13" s="279"/>
      <c r="E13" s="279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85"/>
      <c r="Y13" s="284"/>
      <c r="Z13" s="454" t="s">
        <v>750</v>
      </c>
      <c r="AA13" s="455"/>
      <c r="AB13" s="455"/>
      <c r="AC13" s="455"/>
      <c r="AD13" s="471" t="s">
        <v>903</v>
      </c>
      <c r="AE13" s="471"/>
      <c r="AF13" s="471"/>
      <c r="AG13" s="471"/>
      <c r="AH13" s="471"/>
      <c r="AI13" s="471"/>
      <c r="AJ13" s="471"/>
      <c r="AK13" s="451" t="s">
        <v>754</v>
      </c>
      <c r="AL13" s="451"/>
      <c r="AM13" s="451"/>
      <c r="AN13" s="451"/>
      <c r="AO13" s="451"/>
      <c r="AP13" s="476" t="s">
        <v>896</v>
      </c>
      <c r="AQ13" s="476"/>
      <c r="AR13" s="476"/>
      <c r="AS13" s="476"/>
      <c r="AT13" s="477"/>
      <c r="AU13" s="280"/>
      <c r="AX13" s="254" t="s">
        <v>854</v>
      </c>
      <c r="AZ13" s="254" t="s">
        <v>861</v>
      </c>
      <c r="BA13" s="285"/>
      <c r="BB13" s="254" t="s">
        <v>886</v>
      </c>
    </row>
    <row r="14" spans="1:54" ht="15" customHeight="1" x14ac:dyDescent="0.2">
      <c r="A14" s="279"/>
      <c r="B14" s="279"/>
      <c r="C14" s="279"/>
      <c r="D14" s="279"/>
      <c r="E14" s="279"/>
      <c r="F14" s="279"/>
      <c r="G14" s="279"/>
      <c r="H14" s="279"/>
      <c r="I14" s="279"/>
      <c r="J14" s="279"/>
      <c r="K14" s="279"/>
      <c r="L14" s="279"/>
      <c r="M14" s="279"/>
      <c r="N14" s="279"/>
      <c r="O14" s="279"/>
      <c r="P14" s="279"/>
      <c r="Q14" s="279"/>
      <c r="R14" s="279"/>
      <c r="S14" s="279"/>
      <c r="T14" s="279"/>
      <c r="U14" s="279"/>
      <c r="V14" s="279"/>
      <c r="W14" s="279"/>
      <c r="X14" s="285"/>
      <c r="Y14" s="284"/>
      <c r="Z14" s="454"/>
      <c r="AA14" s="455"/>
      <c r="AB14" s="455"/>
      <c r="AC14" s="455"/>
      <c r="AD14" s="471"/>
      <c r="AE14" s="471"/>
      <c r="AF14" s="471"/>
      <c r="AG14" s="471"/>
      <c r="AH14" s="471"/>
      <c r="AI14" s="471"/>
      <c r="AJ14" s="471"/>
      <c r="AK14" s="451"/>
      <c r="AL14" s="451"/>
      <c r="AM14" s="451"/>
      <c r="AN14" s="451"/>
      <c r="AO14" s="451"/>
      <c r="AP14" s="476"/>
      <c r="AQ14" s="476"/>
      <c r="AR14" s="476"/>
      <c r="AS14" s="476"/>
      <c r="AT14" s="477"/>
      <c r="AU14" s="280"/>
      <c r="AX14" s="254" t="s">
        <v>887</v>
      </c>
      <c r="BA14" s="285"/>
      <c r="BB14" s="254" t="s">
        <v>889</v>
      </c>
    </row>
    <row r="15" spans="1:54" ht="15" customHeight="1" x14ac:dyDescent="0.2">
      <c r="A15" s="279"/>
      <c r="B15" s="279"/>
      <c r="C15" s="279"/>
      <c r="D15" s="279"/>
      <c r="E15" s="279"/>
      <c r="F15" s="279"/>
      <c r="G15" s="279"/>
      <c r="H15" s="279"/>
      <c r="I15" s="279"/>
      <c r="J15" s="279"/>
      <c r="K15" s="279"/>
      <c r="L15" s="279"/>
      <c r="M15" s="279"/>
      <c r="N15" s="279"/>
      <c r="O15" s="279"/>
      <c r="P15" s="279"/>
      <c r="Q15" s="279"/>
      <c r="R15" s="279"/>
      <c r="S15" s="279"/>
      <c r="T15" s="279"/>
      <c r="U15" s="279"/>
      <c r="V15" s="279"/>
      <c r="W15" s="279"/>
      <c r="X15" s="285"/>
      <c r="Y15" s="284"/>
      <c r="Z15" s="450" t="s">
        <v>751</v>
      </c>
      <c r="AA15" s="451"/>
      <c r="AB15" s="451"/>
      <c r="AC15" s="451"/>
      <c r="AD15" s="471" t="s">
        <v>901</v>
      </c>
      <c r="AE15" s="471"/>
      <c r="AF15" s="471"/>
      <c r="AG15" s="471"/>
      <c r="AH15" s="471"/>
      <c r="AI15" s="471"/>
      <c r="AJ15" s="471"/>
      <c r="AK15" s="471"/>
      <c r="AL15" s="471"/>
      <c r="AM15" s="471"/>
      <c r="AN15" s="471"/>
      <c r="AO15" s="471"/>
      <c r="AP15" s="471"/>
      <c r="AQ15" s="471"/>
      <c r="AR15" s="471"/>
      <c r="AS15" s="471"/>
      <c r="AT15" s="472"/>
      <c r="AU15" s="280"/>
      <c r="AX15" s="254" t="s">
        <v>895</v>
      </c>
      <c r="BA15" s="285"/>
      <c r="BB15" s="254" t="s">
        <v>888</v>
      </c>
    </row>
    <row r="16" spans="1:54" ht="15" customHeight="1" thickBot="1" x14ac:dyDescent="0.25">
      <c r="A16" s="279"/>
      <c r="B16" s="279"/>
      <c r="C16" s="279"/>
      <c r="D16" s="279"/>
      <c r="E16" s="279"/>
      <c r="F16" s="279"/>
      <c r="G16" s="279"/>
      <c r="H16" s="279"/>
      <c r="I16" s="279"/>
      <c r="J16" s="279"/>
      <c r="K16" s="279"/>
      <c r="L16" s="279"/>
      <c r="M16" s="279"/>
      <c r="N16" s="279"/>
      <c r="O16" s="279"/>
      <c r="P16" s="279"/>
      <c r="Q16" s="279"/>
      <c r="R16" s="279"/>
      <c r="S16" s="279"/>
      <c r="T16" s="279"/>
      <c r="U16" s="279"/>
      <c r="V16" s="279"/>
      <c r="W16" s="279"/>
      <c r="X16" s="285"/>
      <c r="Y16" s="284"/>
      <c r="Z16" s="452"/>
      <c r="AA16" s="453"/>
      <c r="AB16" s="453"/>
      <c r="AC16" s="453"/>
      <c r="AD16" s="474"/>
      <c r="AE16" s="474"/>
      <c r="AF16" s="474"/>
      <c r="AG16" s="474"/>
      <c r="AH16" s="474"/>
      <c r="AI16" s="474"/>
      <c r="AJ16" s="474"/>
      <c r="AK16" s="474"/>
      <c r="AL16" s="474"/>
      <c r="AM16" s="474"/>
      <c r="AN16" s="474"/>
      <c r="AO16" s="474"/>
      <c r="AP16" s="474"/>
      <c r="AQ16" s="474"/>
      <c r="AR16" s="474"/>
      <c r="AS16" s="474"/>
      <c r="AT16" s="475"/>
      <c r="AU16" s="280"/>
      <c r="AX16" s="254" t="s">
        <v>893</v>
      </c>
      <c r="BA16" s="285"/>
      <c r="BB16" s="254" t="s">
        <v>880</v>
      </c>
    </row>
    <row r="17" spans="1:54" ht="15" customHeight="1" thickBot="1" x14ac:dyDescent="0.25">
      <c r="A17" s="279"/>
      <c r="B17" s="279"/>
      <c r="C17" s="279"/>
      <c r="D17" s="279"/>
      <c r="E17" s="279"/>
      <c r="F17" s="279"/>
      <c r="G17" s="279"/>
      <c r="H17" s="279"/>
      <c r="I17" s="279"/>
      <c r="J17" s="279"/>
      <c r="K17" s="279"/>
      <c r="L17" s="279"/>
      <c r="M17" s="279"/>
      <c r="N17" s="279"/>
      <c r="O17" s="279"/>
      <c r="P17" s="279"/>
      <c r="Q17" s="279"/>
      <c r="R17" s="279"/>
      <c r="S17" s="279"/>
      <c r="T17" s="279"/>
      <c r="U17" s="279"/>
      <c r="V17" s="279"/>
      <c r="W17" s="279"/>
      <c r="X17" s="285"/>
      <c r="Y17" s="284"/>
      <c r="Z17" s="316"/>
      <c r="AA17" s="316"/>
      <c r="AB17" s="316"/>
      <c r="AC17" s="316"/>
      <c r="AD17" s="316"/>
      <c r="AE17" s="316"/>
      <c r="AF17" s="316"/>
      <c r="AG17" s="316"/>
      <c r="AH17" s="316"/>
      <c r="AI17" s="316"/>
      <c r="AJ17" s="316"/>
      <c r="AK17" s="316"/>
      <c r="AL17" s="316"/>
      <c r="AM17" s="316"/>
      <c r="AN17" s="316"/>
      <c r="AO17" s="316"/>
      <c r="AP17" s="316"/>
      <c r="AQ17" s="316"/>
      <c r="AR17" s="316"/>
      <c r="AS17" s="316"/>
      <c r="AT17" s="316"/>
      <c r="AU17" s="280"/>
      <c r="BA17" s="285"/>
      <c r="BB17" s="254" t="s">
        <v>850</v>
      </c>
    </row>
    <row r="18" spans="1:54" ht="15" customHeight="1" x14ac:dyDescent="0.2">
      <c r="A18" s="279"/>
      <c r="B18" s="279"/>
      <c r="C18" s="279"/>
      <c r="D18" s="279"/>
      <c r="E18" s="279"/>
      <c r="F18" s="279"/>
      <c r="G18" s="279"/>
      <c r="H18" s="279"/>
      <c r="I18" s="279"/>
      <c r="J18" s="279"/>
      <c r="K18" s="279"/>
      <c r="L18" s="279"/>
      <c r="M18" s="279"/>
      <c r="N18" s="279"/>
      <c r="O18" s="279"/>
      <c r="P18" s="279"/>
      <c r="Q18" s="279"/>
      <c r="R18" s="279"/>
      <c r="S18" s="279"/>
      <c r="T18" s="279"/>
      <c r="U18" s="279"/>
      <c r="V18" s="279"/>
      <c r="W18" s="279"/>
      <c r="X18" s="285"/>
      <c r="Y18" s="284"/>
      <c r="Z18" s="661" t="s">
        <v>703</v>
      </c>
      <c r="AA18" s="478"/>
      <c r="AB18" s="478"/>
      <c r="AC18" s="478"/>
      <c r="AD18" s="649"/>
      <c r="AE18" s="649"/>
      <c r="AF18" s="649"/>
      <c r="AG18" s="478" t="s">
        <v>704</v>
      </c>
      <c r="AH18" s="478"/>
      <c r="AI18" s="478"/>
      <c r="AJ18" s="478"/>
      <c r="AK18" s="649" t="s">
        <v>897</v>
      </c>
      <c r="AL18" s="649"/>
      <c r="AM18" s="649"/>
      <c r="AN18" s="478" t="s">
        <v>747</v>
      </c>
      <c r="AO18" s="478"/>
      <c r="AP18" s="478"/>
      <c r="AQ18" s="478"/>
      <c r="AR18" s="649"/>
      <c r="AS18" s="649"/>
      <c r="AT18" s="650"/>
      <c r="AU18" s="280"/>
      <c r="BA18" s="285"/>
      <c r="BB18" s="254" t="s">
        <v>896</v>
      </c>
    </row>
    <row r="19" spans="1:54" ht="15" customHeight="1" x14ac:dyDescent="0.2">
      <c r="A19" s="279"/>
      <c r="B19" s="279"/>
      <c r="C19" s="279"/>
      <c r="D19" s="279"/>
      <c r="E19" s="279"/>
      <c r="F19" s="279"/>
      <c r="G19" s="279"/>
      <c r="H19" s="279"/>
      <c r="I19" s="279"/>
      <c r="J19" s="279"/>
      <c r="K19" s="279"/>
      <c r="L19" s="279"/>
      <c r="M19" s="279"/>
      <c r="N19" s="279"/>
      <c r="O19" s="279"/>
      <c r="P19" s="279"/>
      <c r="Q19" s="279"/>
      <c r="R19" s="279"/>
      <c r="S19" s="279"/>
      <c r="T19" s="279"/>
      <c r="U19" s="279"/>
      <c r="V19" s="279"/>
      <c r="W19" s="279"/>
      <c r="X19" s="285"/>
      <c r="Y19" s="284"/>
      <c r="Z19" s="492"/>
      <c r="AA19" s="476"/>
      <c r="AB19" s="476"/>
      <c r="AC19" s="476"/>
      <c r="AD19" s="651"/>
      <c r="AE19" s="651"/>
      <c r="AF19" s="651"/>
      <c r="AG19" s="476"/>
      <c r="AH19" s="476"/>
      <c r="AI19" s="476"/>
      <c r="AJ19" s="476"/>
      <c r="AK19" s="651"/>
      <c r="AL19" s="651"/>
      <c r="AM19" s="651"/>
      <c r="AN19" s="476"/>
      <c r="AO19" s="476"/>
      <c r="AP19" s="476"/>
      <c r="AQ19" s="476"/>
      <c r="AR19" s="651"/>
      <c r="AS19" s="651"/>
      <c r="AT19" s="652"/>
      <c r="AU19" s="280"/>
      <c r="BA19" s="285"/>
    </row>
    <row r="20" spans="1:54" ht="15" customHeight="1" x14ac:dyDescent="0.2">
      <c r="A20" s="279"/>
      <c r="B20" s="279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  <c r="P20" s="279"/>
      <c r="Q20" s="279"/>
      <c r="R20" s="279"/>
      <c r="S20" s="279"/>
      <c r="T20" s="279"/>
      <c r="U20" s="279"/>
      <c r="V20" s="279"/>
      <c r="W20" s="279"/>
      <c r="X20" s="285"/>
      <c r="Y20" s="284"/>
      <c r="Z20" s="492" t="s">
        <v>705</v>
      </c>
      <c r="AA20" s="476"/>
      <c r="AB20" s="476"/>
      <c r="AC20" s="476"/>
      <c r="AD20" s="476"/>
      <c r="AE20" s="476"/>
      <c r="AF20" s="476"/>
      <c r="AG20" s="488" t="s">
        <v>898</v>
      </c>
      <c r="AH20" s="488"/>
      <c r="AI20" s="488"/>
      <c r="AJ20" s="488"/>
      <c r="AK20" s="488"/>
      <c r="AL20" s="488"/>
      <c r="AM20" s="488"/>
      <c r="AN20" s="488"/>
      <c r="AO20" s="488"/>
      <c r="AP20" s="488"/>
      <c r="AQ20" s="488"/>
      <c r="AR20" s="488"/>
      <c r="AS20" s="488"/>
      <c r="AT20" s="489"/>
      <c r="AU20" s="280"/>
      <c r="BA20" s="285"/>
    </row>
    <row r="21" spans="1:54" ht="15" customHeight="1" thickBot="1" x14ac:dyDescent="0.25">
      <c r="A21" s="279"/>
      <c r="B21" s="279"/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  <c r="P21" s="279"/>
      <c r="Q21" s="279"/>
      <c r="R21" s="279"/>
      <c r="S21" s="279"/>
      <c r="T21" s="279"/>
      <c r="U21" s="279"/>
      <c r="V21" s="279"/>
      <c r="W21" s="279"/>
      <c r="X21" s="285"/>
      <c r="Y21" s="284"/>
      <c r="Z21" s="493"/>
      <c r="AA21" s="494"/>
      <c r="AB21" s="494"/>
      <c r="AC21" s="494"/>
      <c r="AD21" s="494"/>
      <c r="AE21" s="494"/>
      <c r="AF21" s="494"/>
      <c r="AG21" s="490"/>
      <c r="AH21" s="490"/>
      <c r="AI21" s="490"/>
      <c r="AJ21" s="490"/>
      <c r="AK21" s="490"/>
      <c r="AL21" s="490"/>
      <c r="AM21" s="490"/>
      <c r="AN21" s="490"/>
      <c r="AO21" s="490"/>
      <c r="AP21" s="490"/>
      <c r="AQ21" s="490"/>
      <c r="AR21" s="490"/>
      <c r="AS21" s="490"/>
      <c r="AT21" s="491"/>
      <c r="AU21" s="280"/>
      <c r="BA21" s="285"/>
    </row>
    <row r="22" spans="1:54" ht="15" customHeight="1" thickBot="1" x14ac:dyDescent="0.25">
      <c r="A22" s="279"/>
      <c r="B22" s="279"/>
      <c r="C22" s="279"/>
      <c r="D22" s="279"/>
      <c r="E22" s="279"/>
      <c r="F22" s="279"/>
      <c r="G22" s="279"/>
      <c r="H22" s="279"/>
      <c r="I22" s="279"/>
      <c r="J22" s="279"/>
      <c r="K22" s="279"/>
      <c r="L22" s="279"/>
      <c r="M22" s="279"/>
      <c r="N22" s="279"/>
      <c r="O22" s="279"/>
      <c r="P22" s="279"/>
      <c r="Q22" s="279"/>
      <c r="R22" s="279"/>
      <c r="S22" s="279"/>
      <c r="T22" s="279"/>
      <c r="U22" s="279"/>
      <c r="V22" s="279"/>
      <c r="W22" s="279"/>
      <c r="X22" s="285"/>
      <c r="Y22" s="284"/>
      <c r="Z22" s="317"/>
      <c r="AA22" s="317"/>
      <c r="AB22" s="317"/>
      <c r="AC22" s="317"/>
      <c r="AD22" s="317"/>
      <c r="AE22" s="317"/>
      <c r="AF22" s="317"/>
      <c r="AG22" s="317"/>
      <c r="AH22" s="317"/>
      <c r="AI22" s="317"/>
      <c r="AJ22" s="317"/>
      <c r="AK22" s="317"/>
      <c r="AL22" s="317"/>
      <c r="AM22" s="317"/>
      <c r="AN22" s="317"/>
      <c r="AO22" s="317"/>
      <c r="AP22" s="317"/>
      <c r="AQ22" s="317"/>
      <c r="AR22" s="317"/>
      <c r="AS22" s="317"/>
      <c r="AT22" s="317"/>
      <c r="AU22" s="280"/>
      <c r="BA22" s="285"/>
    </row>
    <row r="23" spans="1:54" ht="15" customHeight="1" thickBot="1" x14ac:dyDescent="0.25">
      <c r="A23" s="279"/>
      <c r="B23" s="279"/>
      <c r="C23" s="279"/>
      <c r="D23" s="279"/>
      <c r="E23" s="279"/>
      <c r="F23" s="279"/>
      <c r="G23" s="279"/>
      <c r="H23" s="279"/>
      <c r="I23" s="279"/>
      <c r="J23" s="279"/>
      <c r="K23" s="279"/>
      <c r="L23" s="279"/>
      <c r="M23" s="279"/>
      <c r="N23" s="279"/>
      <c r="O23" s="279"/>
      <c r="P23" s="279"/>
      <c r="Q23" s="279"/>
      <c r="R23" s="279"/>
      <c r="S23" s="279"/>
      <c r="T23" s="279"/>
      <c r="U23" s="279"/>
      <c r="V23" s="279"/>
      <c r="W23" s="279"/>
      <c r="X23" s="285"/>
      <c r="Y23" s="284"/>
      <c r="Z23" s="607" t="s">
        <v>746</v>
      </c>
      <c r="AA23" s="607"/>
      <c r="AB23" s="607"/>
      <c r="AC23" s="607"/>
      <c r="AD23" s="607"/>
      <c r="AE23" s="607"/>
      <c r="AF23" s="607"/>
      <c r="AG23" s="607"/>
      <c r="AH23" s="607"/>
      <c r="AI23" s="607"/>
      <c r="AJ23" s="506" t="s">
        <v>706</v>
      </c>
      <c r="AK23" s="506"/>
      <c r="AL23" s="506"/>
      <c r="AM23" s="506"/>
      <c r="AN23" s="506"/>
      <c r="AO23" s="506"/>
      <c r="AP23" s="506" t="s">
        <v>57</v>
      </c>
      <c r="AQ23" s="506"/>
      <c r="AR23" s="506"/>
      <c r="AS23" s="506"/>
      <c r="AT23" s="506"/>
      <c r="AU23" s="280"/>
      <c r="BA23" s="285"/>
    </row>
    <row r="24" spans="1:54" ht="15" customHeight="1" x14ac:dyDescent="0.2">
      <c r="A24" s="279"/>
      <c r="B24" s="279"/>
      <c r="C24" s="279"/>
      <c r="D24" s="279"/>
      <c r="E24" s="279"/>
      <c r="F24" s="279"/>
      <c r="G24" s="279"/>
      <c r="H24" s="279"/>
      <c r="I24" s="279"/>
      <c r="J24" s="279"/>
      <c r="K24" s="279"/>
      <c r="L24" s="279"/>
      <c r="M24" s="279"/>
      <c r="N24" s="279"/>
      <c r="O24" s="279"/>
      <c r="P24" s="279"/>
      <c r="Q24" s="279"/>
      <c r="R24" s="279"/>
      <c r="S24" s="279"/>
      <c r="T24" s="279"/>
      <c r="U24" s="279"/>
      <c r="V24" s="279"/>
      <c r="W24" s="279"/>
      <c r="X24" s="285"/>
      <c r="Y24" s="284"/>
      <c r="Z24" s="552" t="s">
        <v>762</v>
      </c>
      <c r="AA24" s="538"/>
      <c r="AB24" s="538"/>
      <c r="AC24" s="538"/>
      <c r="AD24" s="538"/>
      <c r="AE24" s="538"/>
      <c r="AF24" s="538"/>
      <c r="AG24" s="538"/>
      <c r="AH24" s="538"/>
      <c r="AI24" s="548"/>
      <c r="AJ24" s="538" t="s">
        <v>612</v>
      </c>
      <c r="AK24" s="538"/>
      <c r="AL24" s="538"/>
      <c r="AM24" s="538"/>
      <c r="AN24" s="538"/>
      <c r="AO24" s="548"/>
      <c r="AP24" s="538" t="s">
        <v>612</v>
      </c>
      <c r="AQ24" s="538"/>
      <c r="AR24" s="538"/>
      <c r="AS24" s="538"/>
      <c r="AT24" s="548"/>
      <c r="AU24" s="280"/>
      <c r="BA24" s="285"/>
    </row>
    <row r="25" spans="1:54" ht="15" customHeight="1" x14ac:dyDescent="0.2">
      <c r="A25" s="279"/>
      <c r="B25" s="279"/>
      <c r="C25" s="279"/>
      <c r="D25" s="279"/>
      <c r="E25" s="279"/>
      <c r="F25" s="279"/>
      <c r="G25" s="279"/>
      <c r="H25" s="279"/>
      <c r="I25" s="279"/>
      <c r="J25" s="279"/>
      <c r="K25" s="279"/>
      <c r="L25" s="279"/>
      <c r="M25" s="279"/>
      <c r="N25" s="279"/>
      <c r="O25" s="279"/>
      <c r="P25" s="279"/>
      <c r="Q25" s="279"/>
      <c r="R25" s="279"/>
      <c r="S25" s="279"/>
      <c r="T25" s="279"/>
      <c r="U25" s="279"/>
      <c r="V25" s="279"/>
      <c r="W25" s="279"/>
      <c r="X25" s="285"/>
      <c r="Y25" s="284"/>
      <c r="Z25" s="552" t="s">
        <v>744</v>
      </c>
      <c r="AA25" s="538"/>
      <c r="AB25" s="538"/>
      <c r="AC25" s="538"/>
      <c r="AD25" s="538"/>
      <c r="AE25" s="538"/>
      <c r="AF25" s="538"/>
      <c r="AG25" s="538"/>
      <c r="AH25" s="538"/>
      <c r="AI25" s="548"/>
      <c r="AJ25" s="538" t="s">
        <v>612</v>
      </c>
      <c r="AK25" s="538"/>
      <c r="AL25" s="538"/>
      <c r="AM25" s="538"/>
      <c r="AN25" s="538"/>
      <c r="AO25" s="548"/>
      <c r="AP25" s="538" t="s">
        <v>612</v>
      </c>
      <c r="AQ25" s="538"/>
      <c r="AR25" s="538"/>
      <c r="AS25" s="538"/>
      <c r="AT25" s="548"/>
      <c r="AU25" s="280"/>
      <c r="BA25" s="285"/>
    </row>
    <row r="26" spans="1:54" ht="15" customHeight="1" thickBot="1" x14ac:dyDescent="0.25">
      <c r="A26" s="279"/>
      <c r="B26" s="279"/>
      <c r="C26" s="279"/>
      <c r="D26" s="279"/>
      <c r="E26" s="279"/>
      <c r="F26" s="279"/>
      <c r="G26" s="279"/>
      <c r="H26" s="279"/>
      <c r="I26" s="279"/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85"/>
      <c r="Y26" s="284"/>
      <c r="Z26" s="585" t="s">
        <v>868</v>
      </c>
      <c r="AA26" s="586"/>
      <c r="AB26" s="586"/>
      <c r="AC26" s="586"/>
      <c r="AD26" s="586"/>
      <c r="AE26" s="586"/>
      <c r="AF26" s="586"/>
      <c r="AG26" s="586"/>
      <c r="AH26" s="586"/>
      <c r="AI26" s="587"/>
      <c r="AJ26" s="586" t="s">
        <v>612</v>
      </c>
      <c r="AK26" s="586"/>
      <c r="AL26" s="586"/>
      <c r="AM26" s="586"/>
      <c r="AN26" s="586"/>
      <c r="AO26" s="587"/>
      <c r="AP26" s="586" t="s">
        <v>612</v>
      </c>
      <c r="AQ26" s="586"/>
      <c r="AR26" s="586"/>
      <c r="AS26" s="586"/>
      <c r="AT26" s="587"/>
      <c r="AU26" s="280"/>
      <c r="BA26" s="286"/>
    </row>
    <row r="27" spans="1:54" ht="15" customHeight="1" thickBot="1" x14ac:dyDescent="0.25">
      <c r="A27" s="279"/>
      <c r="B27" s="279"/>
      <c r="C27" s="279"/>
      <c r="D27" s="279"/>
      <c r="E27" s="279"/>
      <c r="F27" s="279"/>
      <c r="G27" s="279"/>
      <c r="H27" s="279"/>
      <c r="I27" s="279"/>
      <c r="J27" s="279"/>
      <c r="K27" s="279"/>
      <c r="L27" s="279"/>
      <c r="M27" s="279"/>
      <c r="N27" s="279"/>
      <c r="O27" s="279"/>
      <c r="P27" s="279"/>
      <c r="Q27" s="279"/>
      <c r="R27" s="279"/>
      <c r="S27" s="279"/>
      <c r="T27" s="279"/>
      <c r="U27" s="279"/>
      <c r="V27" s="279"/>
      <c r="W27" s="279"/>
      <c r="X27" s="285"/>
      <c r="Y27" s="284"/>
      <c r="Z27" s="301"/>
      <c r="AA27" s="301"/>
      <c r="AB27" s="301"/>
      <c r="AC27" s="301"/>
      <c r="AD27" s="301"/>
      <c r="AE27" s="301"/>
      <c r="AF27" s="301"/>
      <c r="AG27" s="301"/>
      <c r="AH27" s="301"/>
      <c r="AI27" s="301"/>
      <c r="AJ27" s="301"/>
      <c r="AK27" s="301"/>
      <c r="AL27" s="301"/>
      <c r="AM27" s="301"/>
      <c r="AN27" s="301"/>
      <c r="AO27" s="301"/>
      <c r="AP27" s="301"/>
      <c r="AQ27" s="301"/>
      <c r="AR27" s="301"/>
      <c r="AS27" s="301"/>
      <c r="AT27" s="301"/>
      <c r="AU27" s="280"/>
      <c r="BA27" s="287"/>
    </row>
    <row r="28" spans="1:54" ht="15" customHeight="1" thickBot="1" x14ac:dyDescent="0.25">
      <c r="A28" s="279"/>
      <c r="B28" s="279"/>
      <c r="C28" s="279"/>
      <c r="D28" s="279"/>
      <c r="E28" s="279"/>
      <c r="F28" s="279"/>
      <c r="G28" s="279"/>
      <c r="H28" s="279"/>
      <c r="I28" s="279"/>
      <c r="J28" s="279"/>
      <c r="K28" s="279"/>
      <c r="L28" s="279"/>
      <c r="M28" s="279"/>
      <c r="N28" s="279"/>
      <c r="O28" s="279"/>
      <c r="P28" s="279"/>
      <c r="Q28" s="279"/>
      <c r="R28" s="279"/>
      <c r="S28" s="279"/>
      <c r="T28" s="279"/>
      <c r="U28" s="279"/>
      <c r="V28" s="279"/>
      <c r="W28" s="279"/>
      <c r="X28" s="285"/>
      <c r="Y28" s="284"/>
      <c r="Z28" s="608"/>
      <c r="AA28" s="609"/>
      <c r="AB28" s="609"/>
      <c r="AC28" s="609"/>
      <c r="AD28" s="609"/>
      <c r="AE28" s="609"/>
      <c r="AF28" s="609"/>
      <c r="AG28" s="609"/>
      <c r="AH28" s="609"/>
      <c r="AI28" s="609"/>
      <c r="AJ28" s="609"/>
      <c r="AK28" s="609"/>
      <c r="AL28" s="609"/>
      <c r="AM28" s="609"/>
      <c r="AN28" s="609"/>
      <c r="AO28" s="609"/>
      <c r="AP28" s="609"/>
      <c r="AQ28" s="609"/>
      <c r="AR28" s="609"/>
      <c r="AS28" s="609"/>
      <c r="AT28" s="610"/>
      <c r="AU28" s="280"/>
      <c r="BA28" s="287"/>
    </row>
    <row r="29" spans="1:54" ht="15" customHeight="1" x14ac:dyDescent="0.2">
      <c r="A29" s="279"/>
      <c r="B29" s="279"/>
      <c r="C29" s="279"/>
      <c r="D29" s="279"/>
      <c r="E29" s="279"/>
      <c r="F29" s="279"/>
      <c r="G29" s="279"/>
      <c r="H29" s="279"/>
      <c r="I29" s="279"/>
      <c r="J29" s="279"/>
      <c r="K29" s="279"/>
      <c r="L29" s="279"/>
      <c r="M29" s="279"/>
      <c r="N29" s="279"/>
      <c r="O29" s="279"/>
      <c r="P29" s="279"/>
      <c r="Q29" s="279"/>
      <c r="R29" s="279"/>
      <c r="S29" s="279"/>
      <c r="T29" s="279"/>
      <c r="U29" s="279"/>
      <c r="V29" s="279"/>
      <c r="W29" s="279"/>
      <c r="X29" s="285"/>
      <c r="Y29" s="284"/>
      <c r="Z29" s="456" t="s">
        <v>757</v>
      </c>
      <c r="AA29" s="457"/>
      <c r="AB29" s="457"/>
      <c r="AC29" s="457"/>
      <c r="AD29" s="457"/>
      <c r="AE29" s="473">
        <v>258.02</v>
      </c>
      <c r="AF29" s="473"/>
      <c r="AG29" s="473"/>
      <c r="AH29" s="473"/>
      <c r="AI29" s="473"/>
      <c r="AJ29" s="457" t="s">
        <v>758</v>
      </c>
      <c r="AK29" s="457"/>
      <c r="AL29" s="457"/>
      <c r="AM29" s="469" t="s">
        <v>905</v>
      </c>
      <c r="AN29" s="469"/>
      <c r="AO29" s="469"/>
      <c r="AP29" s="469"/>
      <c r="AQ29" s="469"/>
      <c r="AR29" s="469"/>
      <c r="AS29" s="469"/>
      <c r="AT29" s="470"/>
      <c r="AU29" s="280"/>
      <c r="BA29" s="287"/>
    </row>
    <row r="30" spans="1:54" ht="15" customHeight="1" x14ac:dyDescent="0.2">
      <c r="A30" s="279"/>
      <c r="B30" s="279"/>
      <c r="C30" s="279"/>
      <c r="D30" s="279"/>
      <c r="E30" s="279"/>
      <c r="F30" s="279"/>
      <c r="G30" s="279"/>
      <c r="H30" s="279"/>
      <c r="I30" s="279"/>
      <c r="J30" s="279"/>
      <c r="K30" s="279"/>
      <c r="L30" s="279"/>
      <c r="M30" s="279"/>
      <c r="N30" s="279"/>
      <c r="O30" s="279"/>
      <c r="P30" s="279"/>
      <c r="Q30" s="279"/>
      <c r="R30" s="279"/>
      <c r="S30" s="279"/>
      <c r="T30" s="279"/>
      <c r="U30" s="279"/>
      <c r="V30" s="279"/>
      <c r="W30" s="279"/>
      <c r="X30" s="285"/>
      <c r="Y30" s="284"/>
      <c r="Z30" s="450"/>
      <c r="AA30" s="451"/>
      <c r="AB30" s="451"/>
      <c r="AC30" s="451"/>
      <c r="AD30" s="451"/>
      <c r="AE30" s="467"/>
      <c r="AF30" s="467"/>
      <c r="AG30" s="467"/>
      <c r="AH30" s="467"/>
      <c r="AI30" s="467"/>
      <c r="AJ30" s="451"/>
      <c r="AK30" s="451"/>
      <c r="AL30" s="451"/>
      <c r="AM30" s="471"/>
      <c r="AN30" s="471"/>
      <c r="AO30" s="471"/>
      <c r="AP30" s="471"/>
      <c r="AQ30" s="471"/>
      <c r="AR30" s="471"/>
      <c r="AS30" s="471"/>
      <c r="AT30" s="472"/>
      <c r="AU30" s="280"/>
      <c r="BA30" s="287"/>
    </row>
    <row r="31" spans="1:54" ht="15" customHeight="1" x14ac:dyDescent="0.2">
      <c r="A31" s="279"/>
      <c r="B31" s="279"/>
      <c r="C31" s="279"/>
      <c r="D31" s="279"/>
      <c r="E31" s="279"/>
      <c r="F31" s="279"/>
      <c r="G31" s="279"/>
      <c r="H31" s="279"/>
      <c r="I31" s="279"/>
      <c r="J31" s="279"/>
      <c r="K31" s="279"/>
      <c r="L31" s="279"/>
      <c r="M31" s="279"/>
      <c r="N31" s="279"/>
      <c r="O31" s="279"/>
      <c r="P31" s="279"/>
      <c r="Q31" s="279"/>
      <c r="R31" s="279"/>
      <c r="S31" s="279"/>
      <c r="T31" s="279"/>
      <c r="U31" s="279"/>
      <c r="V31" s="279"/>
      <c r="W31" s="279"/>
      <c r="X31" s="285"/>
      <c r="Y31" s="284"/>
      <c r="Z31" s="450"/>
      <c r="AA31" s="451"/>
      <c r="AB31" s="451"/>
      <c r="AC31" s="451"/>
      <c r="AD31" s="451"/>
      <c r="AE31" s="467"/>
      <c r="AF31" s="467"/>
      <c r="AG31" s="467"/>
      <c r="AH31" s="467"/>
      <c r="AI31" s="467"/>
      <c r="AJ31" s="451"/>
      <c r="AK31" s="451"/>
      <c r="AL31" s="451"/>
      <c r="AM31" s="471"/>
      <c r="AN31" s="471"/>
      <c r="AO31" s="471"/>
      <c r="AP31" s="471"/>
      <c r="AQ31" s="471"/>
      <c r="AR31" s="471"/>
      <c r="AS31" s="471"/>
      <c r="AT31" s="472"/>
      <c r="AU31" s="280"/>
      <c r="BA31" s="287"/>
    </row>
    <row r="32" spans="1:54" ht="15" customHeight="1" x14ac:dyDescent="0.2">
      <c r="A32" s="279"/>
      <c r="B32" s="279"/>
      <c r="C32" s="279"/>
      <c r="D32" s="279"/>
      <c r="E32" s="279"/>
      <c r="F32" s="279"/>
      <c r="G32" s="279"/>
      <c r="H32" s="279"/>
      <c r="I32" s="279"/>
      <c r="J32" s="279"/>
      <c r="K32" s="279"/>
      <c r="L32" s="279"/>
      <c r="M32" s="279"/>
      <c r="N32" s="279"/>
      <c r="O32" s="279"/>
      <c r="P32" s="279"/>
      <c r="Q32" s="279"/>
      <c r="R32" s="279"/>
      <c r="S32" s="279"/>
      <c r="T32" s="279"/>
      <c r="U32" s="279"/>
      <c r="V32" s="279"/>
      <c r="W32" s="279"/>
      <c r="X32" s="285"/>
      <c r="Y32" s="284"/>
      <c r="Z32" s="450" t="s">
        <v>760</v>
      </c>
      <c r="AA32" s="451"/>
      <c r="AB32" s="451"/>
      <c r="AC32" s="451"/>
      <c r="AD32" s="451"/>
      <c r="AE32" s="467" t="s">
        <v>906</v>
      </c>
      <c r="AF32" s="467"/>
      <c r="AG32" s="467"/>
      <c r="AH32" s="467"/>
      <c r="AI32" s="467"/>
      <c r="AJ32" s="451" t="s">
        <v>768</v>
      </c>
      <c r="AK32" s="451"/>
      <c r="AL32" s="451"/>
      <c r="AM32" s="458" t="s">
        <v>904</v>
      </c>
      <c r="AN32" s="459"/>
      <c r="AO32" s="459"/>
      <c r="AP32" s="459"/>
      <c r="AQ32" s="459"/>
      <c r="AR32" s="459"/>
      <c r="AS32" s="459"/>
      <c r="AT32" s="460"/>
      <c r="AU32" s="280"/>
      <c r="BA32" s="287"/>
    </row>
    <row r="33" spans="1:54" ht="15" customHeight="1" x14ac:dyDescent="0.2">
      <c r="A33" s="279"/>
      <c r="B33" s="279"/>
      <c r="C33" s="279"/>
      <c r="D33" s="279"/>
      <c r="E33" s="279"/>
      <c r="F33" s="279"/>
      <c r="G33" s="279"/>
      <c r="H33" s="279"/>
      <c r="I33" s="279"/>
      <c r="J33" s="279"/>
      <c r="K33" s="279"/>
      <c r="L33" s="279"/>
      <c r="M33" s="279"/>
      <c r="N33" s="279"/>
      <c r="O33" s="279"/>
      <c r="P33" s="279"/>
      <c r="Q33" s="279"/>
      <c r="R33" s="279"/>
      <c r="S33" s="279"/>
      <c r="T33" s="279"/>
      <c r="U33" s="279"/>
      <c r="V33" s="279"/>
      <c r="W33" s="279"/>
      <c r="X33" s="285"/>
      <c r="Y33" s="284"/>
      <c r="Z33" s="450"/>
      <c r="AA33" s="451"/>
      <c r="AB33" s="451"/>
      <c r="AC33" s="451"/>
      <c r="AD33" s="451"/>
      <c r="AE33" s="467"/>
      <c r="AF33" s="467"/>
      <c r="AG33" s="467"/>
      <c r="AH33" s="467"/>
      <c r="AI33" s="467"/>
      <c r="AJ33" s="451"/>
      <c r="AK33" s="451"/>
      <c r="AL33" s="451"/>
      <c r="AM33" s="461"/>
      <c r="AN33" s="462"/>
      <c r="AO33" s="462"/>
      <c r="AP33" s="462"/>
      <c r="AQ33" s="462"/>
      <c r="AR33" s="462"/>
      <c r="AS33" s="462"/>
      <c r="AT33" s="463"/>
      <c r="AU33" s="280"/>
      <c r="BA33" s="287"/>
    </row>
    <row r="34" spans="1:54" ht="15" customHeight="1" thickBot="1" x14ac:dyDescent="0.25">
      <c r="A34" s="279"/>
      <c r="B34" s="279"/>
      <c r="C34" s="279"/>
      <c r="D34" s="279"/>
      <c r="E34" s="279"/>
      <c r="F34" s="279"/>
      <c r="G34" s="279"/>
      <c r="H34" s="279"/>
      <c r="I34" s="279"/>
      <c r="J34" s="279"/>
      <c r="K34" s="279"/>
      <c r="L34" s="279"/>
      <c r="M34" s="279"/>
      <c r="N34" s="279"/>
      <c r="O34" s="279"/>
      <c r="P34" s="279"/>
      <c r="Q34" s="279"/>
      <c r="R34" s="279"/>
      <c r="S34" s="279"/>
      <c r="T34" s="279"/>
      <c r="U34" s="279"/>
      <c r="V34" s="279"/>
      <c r="W34" s="279"/>
      <c r="X34" s="285"/>
      <c r="Y34" s="284"/>
      <c r="Z34" s="452"/>
      <c r="AA34" s="453"/>
      <c r="AB34" s="453"/>
      <c r="AC34" s="453"/>
      <c r="AD34" s="453"/>
      <c r="AE34" s="468"/>
      <c r="AF34" s="468"/>
      <c r="AG34" s="468"/>
      <c r="AH34" s="468"/>
      <c r="AI34" s="468"/>
      <c r="AJ34" s="453"/>
      <c r="AK34" s="453"/>
      <c r="AL34" s="453"/>
      <c r="AM34" s="464"/>
      <c r="AN34" s="465"/>
      <c r="AO34" s="465"/>
      <c r="AP34" s="465"/>
      <c r="AQ34" s="465"/>
      <c r="AR34" s="465"/>
      <c r="AS34" s="465"/>
      <c r="AT34" s="466"/>
      <c r="AU34" s="280"/>
      <c r="BA34" s="287"/>
    </row>
    <row r="35" spans="1:54" ht="15" customHeight="1" x14ac:dyDescent="0.2">
      <c r="A35" s="279"/>
      <c r="B35" s="279"/>
      <c r="C35" s="279"/>
      <c r="D35" s="279"/>
      <c r="E35" s="279"/>
      <c r="F35" s="279"/>
      <c r="G35" s="279"/>
      <c r="H35" s="279"/>
      <c r="I35" s="279"/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85"/>
      <c r="Y35" s="284"/>
      <c r="AU35" s="280"/>
      <c r="BA35" s="283"/>
    </row>
    <row r="36" spans="1:54" ht="15" customHeight="1" x14ac:dyDescent="0.2">
      <c r="A36" s="279"/>
      <c r="B36" s="279"/>
      <c r="C36" s="279"/>
      <c r="D36" s="279"/>
      <c r="E36" s="279"/>
      <c r="F36" s="279"/>
      <c r="G36" s="279"/>
      <c r="H36" s="279"/>
      <c r="I36" s="279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86"/>
      <c r="Y36" s="284"/>
      <c r="Z36" s="547" t="s">
        <v>764</v>
      </c>
      <c r="AA36" s="547"/>
      <c r="AB36" s="547"/>
      <c r="AC36" s="547"/>
      <c r="AD36" s="547"/>
      <c r="AE36" s="547"/>
      <c r="AF36" s="547"/>
      <c r="AG36" s="547"/>
      <c r="AH36" s="547"/>
      <c r="AI36" s="547"/>
      <c r="AJ36" s="547"/>
      <c r="AK36" s="547" t="s">
        <v>765</v>
      </c>
      <c r="AL36" s="547"/>
      <c r="AM36" s="547"/>
      <c r="AN36" s="547"/>
      <c r="AO36" s="547"/>
      <c r="AP36" s="547"/>
      <c r="AQ36" s="547"/>
      <c r="AR36" s="547"/>
      <c r="AS36" s="547"/>
      <c r="AT36" s="547"/>
      <c r="AU36" s="280"/>
      <c r="BA36" s="283"/>
    </row>
    <row r="37" spans="1:54" ht="15" customHeight="1" x14ac:dyDescent="0.2">
      <c r="A37" s="279"/>
      <c r="B37" s="279"/>
      <c r="C37" s="279"/>
      <c r="D37" s="279"/>
      <c r="E37" s="279"/>
      <c r="F37" s="279"/>
      <c r="G37" s="279"/>
      <c r="H37" s="279"/>
      <c r="I37" s="2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87"/>
      <c r="Y37" s="284"/>
      <c r="Z37" s="547"/>
      <c r="AA37" s="547"/>
      <c r="AB37" s="547"/>
      <c r="AC37" s="547"/>
      <c r="AD37" s="547"/>
      <c r="AE37" s="547"/>
      <c r="AF37" s="547"/>
      <c r="AG37" s="547"/>
      <c r="AH37" s="547"/>
      <c r="AI37" s="547"/>
      <c r="AJ37" s="547"/>
      <c r="AK37" s="547"/>
      <c r="AL37" s="547"/>
      <c r="AM37" s="547"/>
      <c r="AN37" s="547"/>
      <c r="AO37" s="547"/>
      <c r="AP37" s="547"/>
      <c r="AQ37" s="547"/>
      <c r="AR37" s="547"/>
      <c r="AS37" s="547"/>
      <c r="AT37" s="547"/>
      <c r="AU37" s="255"/>
    </row>
    <row r="38" spans="1:54" ht="15" customHeight="1" x14ac:dyDescent="0.2">
      <c r="A38" s="279"/>
      <c r="B38" s="279"/>
      <c r="C38" s="279"/>
      <c r="D38" s="279"/>
      <c r="E38" s="279"/>
      <c r="F38" s="279"/>
      <c r="G38" s="279"/>
      <c r="H38" s="279"/>
      <c r="I38" s="279"/>
      <c r="J38" s="279"/>
      <c r="K38" s="279"/>
      <c r="L38" s="279"/>
      <c r="M38" s="279"/>
      <c r="N38" s="279"/>
      <c r="O38" s="279"/>
      <c r="P38" s="279"/>
      <c r="Q38" s="279"/>
      <c r="R38" s="279"/>
      <c r="S38" s="279"/>
      <c r="T38" s="279"/>
      <c r="U38" s="279"/>
      <c r="V38" s="279"/>
      <c r="W38" s="279"/>
      <c r="X38" s="287"/>
      <c r="Y38" s="284"/>
      <c r="Z38" s="352" t="s">
        <v>669</v>
      </c>
      <c r="AA38" s="353"/>
      <c r="AB38" s="353"/>
      <c r="AC38" s="353"/>
      <c r="AD38" s="353"/>
      <c r="AE38" s="354" t="s">
        <v>670</v>
      </c>
      <c r="AF38" s="353"/>
      <c r="AG38" s="354" t="s">
        <v>671</v>
      </c>
      <c r="AH38" s="355"/>
      <c r="AI38" s="353"/>
      <c r="AJ38" s="353"/>
      <c r="AK38" s="356"/>
      <c r="AL38" s="356"/>
      <c r="AM38" s="356"/>
      <c r="AN38" s="356"/>
      <c r="AO38" s="353"/>
      <c r="AP38" s="353"/>
      <c r="AQ38" s="355"/>
      <c r="AR38" s="353"/>
      <c r="AS38" s="353"/>
      <c r="AT38" s="357"/>
      <c r="AU38" s="255"/>
    </row>
    <row r="39" spans="1:54" ht="15" customHeight="1" x14ac:dyDescent="0.2">
      <c r="A39" s="279"/>
      <c r="B39" s="279"/>
      <c r="C39" s="279"/>
      <c r="D39" s="279"/>
      <c r="E39" s="279"/>
      <c r="F39" s="279"/>
      <c r="G39" s="279"/>
      <c r="H39" s="279"/>
      <c r="I39" s="279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V39" s="279"/>
      <c r="W39" s="279"/>
      <c r="X39" s="287"/>
      <c r="Y39" s="284"/>
      <c r="Z39" s="358"/>
      <c r="AA39" s="268"/>
      <c r="AB39" s="268"/>
      <c r="AC39" s="268"/>
      <c r="AD39" s="268"/>
      <c r="AE39" s="268"/>
      <c r="AF39" s="268"/>
      <c r="AG39" s="268"/>
      <c r="AH39" s="264"/>
      <c r="AI39" s="268"/>
      <c r="AJ39" s="268"/>
      <c r="AK39" s="268"/>
      <c r="AL39" s="268"/>
      <c r="AM39" s="268"/>
      <c r="AN39" s="268"/>
      <c r="AO39" s="268"/>
      <c r="AP39" s="268"/>
      <c r="AQ39" s="268"/>
      <c r="AR39" s="268"/>
      <c r="AS39" s="268"/>
      <c r="AT39" s="359"/>
      <c r="AU39" s="255"/>
    </row>
    <row r="40" spans="1:54" ht="15" customHeight="1" x14ac:dyDescent="0.2">
      <c r="A40" s="279"/>
      <c r="B40" s="279"/>
      <c r="C40" s="279"/>
      <c r="D40" s="279"/>
      <c r="E40" s="279"/>
      <c r="F40" s="279"/>
      <c r="G40" s="279"/>
      <c r="H40" s="279"/>
      <c r="I40" s="279"/>
      <c r="J40" s="279"/>
      <c r="K40" s="279"/>
      <c r="L40" s="279"/>
      <c r="M40" s="279"/>
      <c r="N40" s="279"/>
      <c r="O40" s="279"/>
      <c r="P40" s="279"/>
      <c r="Q40" s="279"/>
      <c r="R40" s="279"/>
      <c r="S40" s="279"/>
      <c r="T40" s="279"/>
      <c r="U40" s="279"/>
      <c r="V40" s="279"/>
      <c r="W40" s="279"/>
      <c r="X40" s="287"/>
      <c r="Y40" s="287"/>
      <c r="Z40" s="360" t="s">
        <v>672</v>
      </c>
      <c r="AA40" s="361"/>
      <c r="AB40" s="361"/>
      <c r="AC40" s="361"/>
      <c r="AD40" s="361"/>
      <c r="AE40" s="362" t="s">
        <v>670</v>
      </c>
      <c r="AF40" s="361"/>
      <c r="AG40" s="362" t="s">
        <v>671</v>
      </c>
      <c r="AH40" s="363"/>
      <c r="AI40" s="364" t="s">
        <v>673</v>
      </c>
      <c r="AJ40" s="363" t="s">
        <v>674</v>
      </c>
      <c r="AK40" s="361"/>
      <c r="AL40" s="361"/>
      <c r="AM40" s="361"/>
      <c r="AN40" s="361"/>
      <c r="AO40" s="361"/>
      <c r="AP40" s="362" t="s">
        <v>670</v>
      </c>
      <c r="AQ40" s="361"/>
      <c r="AR40" s="362" t="s">
        <v>671</v>
      </c>
      <c r="AS40" s="361"/>
      <c r="AT40" s="365"/>
      <c r="AU40" s="255"/>
    </row>
    <row r="41" spans="1:54" ht="15" customHeight="1" x14ac:dyDescent="0.2">
      <c r="A41" s="279"/>
      <c r="B41" s="279"/>
      <c r="C41" s="279"/>
      <c r="D41" s="279"/>
      <c r="E41" s="279"/>
      <c r="F41" s="279"/>
      <c r="G41" s="279"/>
      <c r="H41" s="279"/>
      <c r="I41" s="279"/>
      <c r="J41" s="279"/>
      <c r="K41" s="279"/>
      <c r="L41" s="279"/>
      <c r="M41" s="279"/>
      <c r="N41" s="279"/>
      <c r="O41" s="279"/>
      <c r="P41" s="279"/>
      <c r="Q41" s="279"/>
      <c r="R41" s="279"/>
      <c r="S41" s="279"/>
      <c r="T41" s="279"/>
      <c r="U41" s="279"/>
      <c r="V41" s="279"/>
      <c r="W41" s="279"/>
      <c r="X41" s="287"/>
      <c r="Y41" s="287"/>
      <c r="Z41" s="255"/>
      <c r="AE41" s="335"/>
      <c r="AG41" s="335"/>
      <c r="AH41" s="255"/>
      <c r="AI41" s="336"/>
      <c r="AJ41" s="255"/>
      <c r="AP41" s="335"/>
      <c r="AR41" s="335"/>
      <c r="AU41" s="255"/>
      <c r="BA41" s="283"/>
    </row>
    <row r="42" spans="1:54" ht="15" customHeight="1" x14ac:dyDescent="0.2">
      <c r="A42" s="279"/>
      <c r="B42" s="279"/>
      <c r="C42" s="279"/>
      <c r="D42" s="279"/>
      <c r="E42" s="279"/>
      <c r="F42" s="279"/>
      <c r="G42" s="279"/>
      <c r="H42" s="279"/>
      <c r="I42" s="279"/>
      <c r="J42" s="279"/>
      <c r="K42" s="279"/>
      <c r="L42" s="279"/>
      <c r="M42" s="279"/>
      <c r="N42" s="279"/>
      <c r="O42" s="279"/>
      <c r="P42" s="279"/>
      <c r="Q42" s="279"/>
      <c r="R42" s="279"/>
      <c r="S42" s="279"/>
      <c r="T42" s="279"/>
      <c r="U42" s="279"/>
      <c r="V42" s="279"/>
      <c r="W42" s="279"/>
      <c r="X42" s="287"/>
      <c r="Y42" s="287"/>
      <c r="Z42" s="255"/>
      <c r="AA42" s="326"/>
      <c r="AB42" s="326"/>
      <c r="AC42" s="326"/>
      <c r="AD42" s="326"/>
      <c r="AH42" s="262"/>
      <c r="AM42" s="262"/>
      <c r="AN42" s="349"/>
      <c r="AO42" s="347"/>
      <c r="AP42" s="349"/>
      <c r="AQ42" s="349"/>
      <c r="AR42" s="349"/>
      <c r="AS42" s="349"/>
      <c r="AT42" s="349"/>
      <c r="AU42" s="255"/>
      <c r="BA42" s="283"/>
      <c r="BB42" s="283"/>
    </row>
    <row r="43" spans="1:54" ht="15" customHeight="1" x14ac:dyDescent="0.2">
      <c r="A43" s="279"/>
      <c r="B43" s="279"/>
      <c r="C43" s="279"/>
      <c r="D43" s="279"/>
      <c r="E43" s="279"/>
      <c r="F43" s="279"/>
      <c r="G43" s="279"/>
      <c r="H43" s="279"/>
      <c r="I43" s="279"/>
      <c r="J43" s="279"/>
      <c r="K43" s="279"/>
      <c r="L43" s="279"/>
      <c r="M43" s="279"/>
      <c r="N43" s="279"/>
      <c r="O43" s="279"/>
      <c r="P43" s="279"/>
      <c r="Q43" s="279"/>
      <c r="R43" s="279"/>
      <c r="S43" s="279"/>
      <c r="T43" s="279"/>
      <c r="U43" s="279"/>
      <c r="V43" s="279"/>
      <c r="W43" s="279"/>
      <c r="X43" s="283"/>
      <c r="Y43" s="283"/>
      <c r="Z43" s="264" t="s">
        <v>677</v>
      </c>
      <c r="AA43" s="313"/>
      <c r="AB43" s="313"/>
      <c r="AC43" s="313"/>
      <c r="AD43" s="313"/>
      <c r="AH43" s="262"/>
      <c r="AM43" s="262"/>
      <c r="AN43" s="346" t="s">
        <v>689</v>
      </c>
      <c r="AO43" s="347" t="s">
        <v>690</v>
      </c>
      <c r="AP43" s="348" t="s">
        <v>691</v>
      </c>
      <c r="AQ43" s="351" t="s">
        <v>692</v>
      </c>
      <c r="AR43" s="349"/>
      <c r="AS43" s="349"/>
      <c r="AT43" s="348"/>
      <c r="AU43" s="255"/>
      <c r="BA43" s="286"/>
      <c r="BB43" s="283"/>
    </row>
    <row r="44" spans="1:54" ht="15" customHeight="1" x14ac:dyDescent="0.2">
      <c r="A44" s="279"/>
      <c r="B44" s="279"/>
      <c r="C44" s="279"/>
      <c r="D44" s="279"/>
      <c r="E44" s="279"/>
      <c r="F44" s="279"/>
      <c r="G44" s="279"/>
      <c r="H44" s="279"/>
      <c r="I44" s="279"/>
      <c r="J44" s="279"/>
      <c r="K44" s="279"/>
      <c r="L44" s="279"/>
      <c r="M44" s="279"/>
      <c r="N44" s="279"/>
      <c r="O44" s="279"/>
      <c r="P44" s="279"/>
      <c r="Q44" s="279"/>
      <c r="R44" s="279"/>
      <c r="S44" s="279"/>
      <c r="T44" s="279"/>
      <c r="U44" s="279"/>
      <c r="V44" s="279"/>
      <c r="W44" s="279"/>
      <c r="X44" s="283"/>
      <c r="Y44" s="283"/>
      <c r="Z44" s="255"/>
      <c r="AA44" s="270" t="s">
        <v>875</v>
      </c>
      <c r="AH44" s="262"/>
      <c r="AM44" s="262"/>
      <c r="AN44" s="274" t="s">
        <v>612</v>
      </c>
      <c r="AO44" s="275" t="s">
        <v>690</v>
      </c>
      <c r="AP44" s="276" t="s">
        <v>612</v>
      </c>
      <c r="AQ44" s="318"/>
      <c r="AR44" s="319"/>
      <c r="AS44" s="319"/>
      <c r="AT44" s="320"/>
      <c r="AU44" s="255"/>
      <c r="BB44" s="283"/>
    </row>
    <row r="45" spans="1:54" ht="15" customHeight="1" x14ac:dyDescent="0.2">
      <c r="A45" s="279"/>
      <c r="B45" s="279"/>
      <c r="C45" s="279"/>
      <c r="D45" s="279"/>
      <c r="E45" s="279"/>
      <c r="F45" s="279"/>
      <c r="G45" s="279"/>
      <c r="H45" s="279"/>
      <c r="I45" s="279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83"/>
      <c r="Y45" s="283"/>
      <c r="Z45" s="264" t="s">
        <v>873</v>
      </c>
      <c r="AA45" s="313"/>
      <c r="AB45" s="313"/>
      <c r="AC45" s="313"/>
      <c r="AD45" s="313"/>
      <c r="AU45" s="255"/>
    </row>
    <row r="46" spans="1:54" ht="15" customHeight="1" x14ac:dyDescent="0.2">
      <c r="A46" s="279"/>
      <c r="B46" s="279"/>
      <c r="C46" s="279"/>
      <c r="D46" s="279"/>
      <c r="E46" s="279"/>
      <c r="F46" s="279"/>
      <c r="G46" s="279"/>
      <c r="H46" s="279"/>
      <c r="I46" s="279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83"/>
      <c r="Y46" s="283"/>
      <c r="Z46" s="255"/>
      <c r="AA46" s="629" t="s">
        <v>874</v>
      </c>
      <c r="AB46" s="629"/>
      <c r="AC46" s="629"/>
      <c r="AD46" s="629"/>
      <c r="AE46" s="629"/>
      <c r="AF46" s="629"/>
      <c r="AG46" s="629"/>
      <c r="AH46" s="629"/>
      <c r="AI46" s="629"/>
      <c r="AJ46" s="629"/>
      <c r="AK46" s="629"/>
      <c r="AL46" s="629"/>
      <c r="AM46" s="339"/>
      <c r="AN46" s="321" t="s">
        <v>612</v>
      </c>
      <c r="AO46" s="337" t="s">
        <v>690</v>
      </c>
      <c r="AP46" s="323" t="s">
        <v>612</v>
      </c>
      <c r="AQ46" s="340"/>
      <c r="AR46" s="341"/>
      <c r="AS46" s="341"/>
      <c r="AT46" s="342"/>
      <c r="AU46" s="255"/>
    </row>
    <row r="47" spans="1:54" ht="15" customHeight="1" x14ac:dyDescent="0.2">
      <c r="A47" s="279"/>
      <c r="B47" s="279"/>
      <c r="C47" s="279"/>
      <c r="D47" s="279"/>
      <c r="E47" s="279"/>
      <c r="F47" s="279"/>
      <c r="G47" s="279"/>
      <c r="H47" s="279"/>
      <c r="I47" s="279"/>
      <c r="J47" s="279"/>
      <c r="K47" s="279"/>
      <c r="L47" s="279"/>
      <c r="M47" s="279"/>
      <c r="N47" s="279"/>
      <c r="O47" s="279"/>
      <c r="P47" s="279"/>
      <c r="Q47" s="279"/>
      <c r="R47" s="279"/>
      <c r="S47" s="279"/>
      <c r="T47" s="279"/>
      <c r="U47" s="279"/>
      <c r="V47" s="279"/>
      <c r="W47" s="279"/>
      <c r="X47" s="283"/>
      <c r="Y47" s="283"/>
      <c r="Z47" s="255"/>
      <c r="AA47" s="629"/>
      <c r="AB47" s="629"/>
      <c r="AC47" s="629"/>
      <c r="AD47" s="629"/>
      <c r="AE47" s="629"/>
      <c r="AF47" s="629"/>
      <c r="AG47" s="629"/>
      <c r="AH47" s="629"/>
      <c r="AI47" s="629"/>
      <c r="AJ47" s="629"/>
      <c r="AK47" s="629"/>
      <c r="AL47" s="629"/>
      <c r="AM47" s="339"/>
      <c r="AN47" s="322"/>
      <c r="AO47" s="338"/>
      <c r="AP47" s="324"/>
      <c r="AQ47" s="343"/>
      <c r="AR47" s="344"/>
      <c r="AS47" s="344"/>
      <c r="AT47" s="345"/>
      <c r="AU47" s="255"/>
    </row>
    <row r="48" spans="1:54" ht="15" customHeight="1" thickBot="1" x14ac:dyDescent="0.25">
      <c r="A48" s="279"/>
      <c r="B48" s="279"/>
      <c r="C48" s="279"/>
      <c r="D48" s="279"/>
      <c r="E48" s="279"/>
      <c r="F48" s="279"/>
      <c r="G48" s="279"/>
      <c r="H48" s="279"/>
      <c r="I48" s="2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83"/>
      <c r="Y48" s="283"/>
      <c r="Z48" s="311"/>
      <c r="AA48" s="311"/>
      <c r="AB48" s="311"/>
      <c r="AC48" s="311"/>
      <c r="AD48" s="311"/>
      <c r="AE48" s="311"/>
      <c r="AF48" s="311"/>
      <c r="AG48" s="311"/>
      <c r="AH48" s="311"/>
      <c r="AI48" s="311"/>
      <c r="AJ48" s="311"/>
      <c r="AK48" s="311"/>
      <c r="AL48" s="311"/>
      <c r="AM48" s="311"/>
      <c r="AN48" s="311"/>
      <c r="AO48" s="311"/>
      <c r="AP48" s="311"/>
      <c r="AQ48" s="311"/>
      <c r="AR48" s="311"/>
      <c r="AS48" s="311"/>
      <c r="AT48" s="350"/>
    </row>
    <row r="49" spans="1:47" ht="15" customHeight="1" x14ac:dyDescent="0.2">
      <c r="A49" s="279"/>
      <c r="B49" s="279"/>
      <c r="C49" s="279"/>
      <c r="D49" s="279"/>
      <c r="E49" s="279"/>
      <c r="F49" s="279"/>
      <c r="G49" s="279"/>
      <c r="H49" s="279"/>
      <c r="I49" s="2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83"/>
      <c r="Y49" s="283"/>
      <c r="Z49" s="308" t="s">
        <v>700</v>
      </c>
      <c r="AA49" s="304"/>
      <c r="AB49" s="304"/>
      <c r="AC49" s="304"/>
      <c r="AD49" s="304"/>
      <c r="AE49" s="304"/>
      <c r="AF49" s="304"/>
      <c r="AG49" s="304"/>
      <c r="AH49" s="304"/>
      <c r="AI49" s="304"/>
      <c r="AJ49" s="304"/>
      <c r="AK49" s="304"/>
      <c r="AL49" s="304"/>
      <c r="AM49" s="304"/>
      <c r="AN49" s="304"/>
      <c r="AO49" s="304"/>
      <c r="AP49" s="304"/>
      <c r="AQ49" s="304"/>
      <c r="AR49" s="304"/>
      <c r="AS49" s="304"/>
      <c r="AT49" s="309"/>
    </row>
    <row r="50" spans="1:47" ht="15" customHeight="1" x14ac:dyDescent="0.2">
      <c r="A50" s="279"/>
      <c r="B50" s="279"/>
      <c r="C50" s="279"/>
      <c r="D50" s="279"/>
      <c r="E50" s="279"/>
      <c r="F50" s="279"/>
      <c r="G50" s="279"/>
      <c r="H50" s="279"/>
      <c r="I50" s="279"/>
      <c r="J50" s="279"/>
      <c r="K50" s="279"/>
      <c r="L50" s="279"/>
      <c r="M50" s="279"/>
      <c r="N50" s="279"/>
      <c r="O50" s="279"/>
      <c r="P50" s="279"/>
      <c r="Q50" s="279"/>
      <c r="R50" s="279"/>
      <c r="S50" s="279"/>
      <c r="T50" s="279"/>
      <c r="U50" s="279"/>
      <c r="V50" s="279"/>
      <c r="W50" s="279"/>
      <c r="X50" s="283"/>
      <c r="Y50" s="283"/>
      <c r="Z50" s="308"/>
      <c r="AA50" s="304"/>
      <c r="AB50" s="304"/>
      <c r="AC50" s="304"/>
      <c r="AD50" s="304"/>
      <c r="AE50" s="304"/>
      <c r="AF50" s="304"/>
      <c r="AG50" s="304"/>
      <c r="AH50" s="304"/>
      <c r="AI50" s="304"/>
      <c r="AJ50" s="304"/>
      <c r="AK50" s="304"/>
      <c r="AL50" s="304"/>
      <c r="AM50" s="304"/>
      <c r="AN50" s="304"/>
      <c r="AO50" s="304"/>
      <c r="AP50" s="304"/>
      <c r="AQ50" s="304"/>
      <c r="AR50" s="304"/>
      <c r="AS50" s="304"/>
      <c r="AT50" s="309"/>
    </row>
    <row r="51" spans="1:47" ht="15" customHeight="1" x14ac:dyDescent="0.2">
      <c r="A51" s="279"/>
      <c r="B51" s="279"/>
      <c r="C51" s="279"/>
      <c r="D51" s="279"/>
      <c r="E51" s="279"/>
      <c r="F51" s="279"/>
      <c r="G51" s="279"/>
      <c r="H51" s="279"/>
      <c r="I51" s="279"/>
      <c r="J51" s="279"/>
      <c r="K51" s="279"/>
      <c r="L51" s="279"/>
      <c r="M51" s="279"/>
      <c r="N51" s="279"/>
      <c r="O51" s="279"/>
      <c r="P51" s="279"/>
      <c r="Q51" s="279"/>
      <c r="R51" s="279"/>
      <c r="S51" s="279"/>
      <c r="T51" s="279"/>
      <c r="U51" s="279"/>
      <c r="V51" s="279"/>
      <c r="W51" s="279"/>
      <c r="X51" s="286"/>
      <c r="Y51" s="286"/>
      <c r="Z51" s="308"/>
      <c r="AA51" s="304"/>
      <c r="AB51" s="304"/>
      <c r="AC51" s="304"/>
      <c r="AD51" s="304"/>
      <c r="AE51" s="304"/>
      <c r="AF51" s="304"/>
      <c r="AG51" s="304"/>
      <c r="AH51" s="304"/>
      <c r="AI51" s="304"/>
      <c r="AJ51" s="304"/>
      <c r="AK51" s="304"/>
      <c r="AL51" s="304"/>
      <c r="AM51" s="304"/>
      <c r="AN51" s="304"/>
      <c r="AO51" s="304"/>
      <c r="AP51" s="304"/>
      <c r="AQ51" s="304"/>
      <c r="AR51" s="304"/>
      <c r="AS51" s="304"/>
      <c r="AT51" s="309"/>
    </row>
    <row r="52" spans="1:47" ht="15" customHeight="1" x14ac:dyDescent="0.2">
      <c r="A52" s="279"/>
      <c r="B52" s="279"/>
      <c r="C52" s="279"/>
      <c r="D52" s="279"/>
      <c r="E52" s="279"/>
      <c r="F52" s="279"/>
      <c r="G52" s="279"/>
      <c r="H52" s="279"/>
      <c r="I52" s="279"/>
      <c r="J52" s="279"/>
      <c r="K52" s="279"/>
      <c r="L52" s="279"/>
      <c r="M52" s="279"/>
      <c r="N52" s="279"/>
      <c r="O52" s="279"/>
      <c r="P52" s="279"/>
      <c r="Q52" s="279"/>
      <c r="R52" s="279"/>
      <c r="S52" s="279"/>
      <c r="T52" s="279"/>
      <c r="U52" s="279"/>
      <c r="V52" s="279"/>
      <c r="W52" s="279"/>
      <c r="X52" s="286"/>
      <c r="Y52" s="286"/>
      <c r="Z52" s="308"/>
      <c r="AA52" s="304"/>
      <c r="AB52" s="304"/>
      <c r="AC52" s="304"/>
      <c r="AD52" s="304"/>
      <c r="AE52" s="304"/>
      <c r="AF52" s="304"/>
      <c r="AG52" s="304"/>
      <c r="AH52" s="304"/>
      <c r="AI52" s="304"/>
      <c r="AJ52" s="304"/>
      <c r="AK52" s="304"/>
      <c r="AL52" s="304"/>
      <c r="AM52" s="304"/>
      <c r="AN52" s="304"/>
      <c r="AO52" s="304"/>
      <c r="AP52" s="304"/>
      <c r="AQ52" s="304"/>
      <c r="AR52" s="304"/>
      <c r="AS52" s="304"/>
      <c r="AT52" s="309"/>
    </row>
    <row r="53" spans="1:47" ht="15" customHeight="1" x14ac:dyDescent="0.2">
      <c r="A53" s="279"/>
      <c r="B53" s="279"/>
      <c r="C53" s="279"/>
      <c r="D53" s="279"/>
      <c r="E53" s="279"/>
      <c r="F53" s="279"/>
      <c r="G53" s="279"/>
      <c r="H53" s="279"/>
      <c r="I53" s="279"/>
      <c r="J53" s="279"/>
      <c r="K53" s="279"/>
      <c r="L53" s="279"/>
      <c r="M53" s="279"/>
      <c r="N53" s="279"/>
      <c r="O53" s="279"/>
      <c r="P53" s="279"/>
      <c r="Q53" s="279"/>
      <c r="R53" s="279"/>
      <c r="S53" s="279"/>
      <c r="T53" s="279"/>
      <c r="U53" s="279"/>
      <c r="V53" s="279"/>
      <c r="W53" s="279"/>
      <c r="X53" s="286"/>
      <c r="Y53" s="286"/>
      <c r="Z53" s="308"/>
      <c r="AA53" s="304"/>
      <c r="AB53" s="304"/>
      <c r="AC53" s="304"/>
      <c r="AD53" s="304"/>
      <c r="AE53" s="304"/>
      <c r="AF53" s="304"/>
      <c r="AG53" s="304"/>
      <c r="AH53" s="304"/>
      <c r="AI53" s="304"/>
      <c r="AJ53" s="304"/>
      <c r="AK53" s="304"/>
      <c r="AL53" s="304"/>
      <c r="AM53" s="304"/>
      <c r="AN53" s="304"/>
      <c r="AO53" s="304"/>
      <c r="AP53" s="304"/>
      <c r="AQ53" s="304"/>
      <c r="AR53" s="304"/>
      <c r="AS53" s="304"/>
      <c r="AT53" s="309"/>
    </row>
    <row r="54" spans="1:47" ht="15" customHeight="1" x14ac:dyDescent="0.2">
      <c r="A54" s="279"/>
      <c r="B54" s="279"/>
      <c r="C54" s="279"/>
      <c r="D54" s="279"/>
      <c r="E54" s="279"/>
      <c r="F54" s="279"/>
      <c r="G54" s="279"/>
      <c r="H54" s="279"/>
      <c r="I54" s="279"/>
      <c r="J54" s="279"/>
      <c r="K54" s="279"/>
      <c r="L54" s="279"/>
      <c r="M54" s="279"/>
      <c r="N54" s="279"/>
      <c r="O54" s="279"/>
      <c r="P54" s="279"/>
      <c r="Q54" s="279"/>
      <c r="R54" s="279"/>
      <c r="S54" s="279"/>
      <c r="T54" s="279"/>
      <c r="U54" s="279"/>
      <c r="V54" s="279"/>
      <c r="W54" s="279"/>
      <c r="X54" s="286"/>
      <c r="Y54" s="286"/>
      <c r="Z54" s="308"/>
      <c r="AA54" s="304"/>
      <c r="AB54" s="304"/>
      <c r="AC54" s="304"/>
      <c r="AD54" s="304"/>
      <c r="AE54" s="304"/>
      <c r="AF54" s="304"/>
      <c r="AG54" s="304"/>
      <c r="AH54" s="304"/>
      <c r="AI54" s="304"/>
      <c r="AJ54" s="304"/>
      <c r="AK54" s="304"/>
      <c r="AL54" s="304"/>
      <c r="AM54" s="304"/>
      <c r="AN54" s="304"/>
      <c r="AO54" s="304"/>
      <c r="AP54" s="304"/>
      <c r="AQ54" s="304"/>
      <c r="AR54" s="304"/>
      <c r="AS54" s="304"/>
      <c r="AT54" s="309"/>
    </row>
    <row r="55" spans="1:47" ht="15" customHeight="1" x14ac:dyDescent="0.2">
      <c r="A55" s="279"/>
      <c r="B55" s="279"/>
      <c r="C55" s="279"/>
      <c r="D55" s="279"/>
      <c r="E55" s="279"/>
      <c r="F55" s="279"/>
      <c r="G55" s="279"/>
      <c r="H55" s="279"/>
      <c r="I55" s="279"/>
      <c r="J55" s="279"/>
      <c r="K55" s="279"/>
      <c r="L55" s="279"/>
      <c r="M55" s="279"/>
      <c r="N55" s="279"/>
      <c r="O55" s="279"/>
      <c r="P55" s="279"/>
      <c r="Q55" s="279"/>
      <c r="R55" s="279"/>
      <c r="S55" s="279"/>
      <c r="T55" s="279"/>
      <c r="U55" s="279"/>
      <c r="V55" s="279"/>
      <c r="W55" s="279"/>
      <c r="X55" s="286"/>
      <c r="Y55" s="286"/>
      <c r="Z55" s="308"/>
      <c r="AA55" s="304"/>
      <c r="AB55" s="304"/>
      <c r="AC55" s="304"/>
      <c r="AD55" s="304"/>
      <c r="AE55" s="304"/>
      <c r="AF55" s="304"/>
      <c r="AG55" s="304"/>
      <c r="AH55" s="304"/>
      <c r="AI55" s="304"/>
      <c r="AJ55" s="304"/>
      <c r="AK55" s="304"/>
      <c r="AL55" s="304"/>
      <c r="AM55" s="304"/>
      <c r="AN55" s="304"/>
      <c r="AO55" s="304"/>
      <c r="AP55" s="304"/>
      <c r="AQ55" s="304"/>
      <c r="AR55" s="304"/>
      <c r="AS55" s="304"/>
      <c r="AT55" s="309"/>
    </row>
    <row r="56" spans="1:47" ht="15" customHeight="1" thickBot="1" x14ac:dyDescent="0.25">
      <c r="A56" s="279"/>
      <c r="B56" s="279"/>
      <c r="C56" s="279"/>
      <c r="D56" s="279"/>
      <c r="E56" s="279"/>
      <c r="F56" s="279"/>
      <c r="G56" s="279"/>
      <c r="H56" s="279"/>
      <c r="I56" s="279"/>
      <c r="J56" s="279"/>
      <c r="K56" s="279"/>
      <c r="L56" s="279"/>
      <c r="M56" s="279"/>
      <c r="N56" s="279"/>
      <c r="O56" s="279"/>
      <c r="P56" s="279"/>
      <c r="Q56" s="279"/>
      <c r="R56" s="279"/>
      <c r="S56" s="279"/>
      <c r="T56" s="279"/>
      <c r="U56" s="279"/>
      <c r="V56" s="279"/>
      <c r="W56" s="279"/>
      <c r="X56" s="257"/>
      <c r="Y56" s="257"/>
      <c r="Z56" s="310"/>
      <c r="AA56" s="311"/>
      <c r="AB56" s="311"/>
      <c r="AC56" s="311"/>
      <c r="AD56" s="311"/>
      <c r="AE56" s="311"/>
      <c r="AF56" s="311"/>
      <c r="AG56" s="311"/>
      <c r="AH56" s="311"/>
      <c r="AI56" s="311"/>
      <c r="AJ56" s="311"/>
      <c r="AK56" s="311"/>
      <c r="AL56" s="311"/>
      <c r="AM56" s="311"/>
      <c r="AN56" s="311"/>
      <c r="AO56" s="311"/>
      <c r="AP56" s="311"/>
      <c r="AQ56" s="311"/>
      <c r="AR56" s="311"/>
      <c r="AS56" s="311"/>
      <c r="AT56" s="312"/>
    </row>
    <row r="57" spans="1:47" ht="15" customHeight="1" x14ac:dyDescent="0.2">
      <c r="A57" s="279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79"/>
      <c r="R57" s="279"/>
      <c r="S57" s="279"/>
      <c r="T57" s="279"/>
      <c r="U57" s="279"/>
      <c r="V57" s="279"/>
      <c r="W57" s="279"/>
      <c r="X57" s="295"/>
      <c r="Y57" s="295"/>
      <c r="Z57" s="295"/>
      <c r="AA57" s="295"/>
      <c r="AB57" s="295"/>
      <c r="AC57" s="295"/>
      <c r="AD57" s="295"/>
      <c r="AE57" s="295"/>
      <c r="AF57" s="295"/>
      <c r="AG57" s="295"/>
      <c r="AH57" s="295"/>
      <c r="AI57" s="295"/>
      <c r="AJ57" s="295"/>
      <c r="AK57" s="295"/>
      <c r="AL57" s="295"/>
      <c r="AM57" s="295"/>
      <c r="AN57" s="295"/>
      <c r="AO57" s="295"/>
      <c r="AP57" s="295"/>
      <c r="AQ57" s="295"/>
      <c r="AR57" s="295"/>
      <c r="AS57" s="295"/>
      <c r="AT57" s="295"/>
      <c r="AU57" s="295"/>
    </row>
    <row r="58" spans="1:47" ht="15" customHeight="1" x14ac:dyDescent="0.2">
      <c r="A58" s="255"/>
      <c r="B58" s="516"/>
      <c r="C58" s="517"/>
      <c r="D58" s="517"/>
      <c r="E58" s="517"/>
      <c r="F58" s="517"/>
      <c r="G58" s="517"/>
      <c r="H58" s="518"/>
      <c r="I58" s="563" t="s">
        <v>668</v>
      </c>
      <c r="J58" s="564"/>
      <c r="K58" s="564"/>
      <c r="L58" s="564"/>
      <c r="M58" s="564"/>
      <c r="N58" s="564"/>
      <c r="O58" s="660"/>
      <c r="P58" s="458" t="str">
        <f>P1</f>
        <v>Date : 04/12/2024
Rév : J</v>
      </c>
      <c r="Q58" s="459"/>
      <c r="R58" s="459"/>
      <c r="S58" s="459"/>
      <c r="T58" s="459"/>
      <c r="U58" s="459"/>
      <c r="V58" s="656"/>
      <c r="Y58" s="255"/>
      <c r="Z58" s="546"/>
      <c r="AA58" s="546"/>
      <c r="AB58" s="546"/>
      <c r="AC58" s="546"/>
      <c r="AD58" s="546"/>
      <c r="AE58" s="546"/>
      <c r="AF58" s="546"/>
      <c r="AG58" s="476" t="s">
        <v>668</v>
      </c>
      <c r="AH58" s="451"/>
      <c r="AI58" s="451"/>
      <c r="AJ58" s="451"/>
      <c r="AK58" s="451"/>
      <c r="AL58" s="451"/>
      <c r="AM58" s="451"/>
      <c r="AN58" s="471" t="str">
        <f>P1</f>
        <v>Date : 04/12/2024
Rév : J</v>
      </c>
      <c r="AO58" s="471"/>
      <c r="AP58" s="471"/>
      <c r="AQ58" s="471"/>
      <c r="AR58" s="471"/>
      <c r="AS58" s="471"/>
      <c r="AT58" s="471"/>
    </row>
    <row r="59" spans="1:47" ht="15" customHeight="1" x14ac:dyDescent="0.2">
      <c r="A59" s="255"/>
      <c r="B59" s="519"/>
      <c r="C59" s="520"/>
      <c r="D59" s="520"/>
      <c r="E59" s="520"/>
      <c r="F59" s="520"/>
      <c r="G59" s="520"/>
      <c r="H59" s="521"/>
      <c r="I59" s="513"/>
      <c r="J59" s="514"/>
      <c r="K59" s="514"/>
      <c r="L59" s="514"/>
      <c r="M59" s="514"/>
      <c r="N59" s="514"/>
      <c r="O59" s="515"/>
      <c r="P59" s="657"/>
      <c r="Q59" s="658"/>
      <c r="R59" s="658"/>
      <c r="S59" s="658"/>
      <c r="T59" s="658"/>
      <c r="U59" s="658"/>
      <c r="V59" s="659"/>
      <c r="Y59" s="278"/>
      <c r="Z59" s="546"/>
      <c r="AA59" s="546"/>
      <c r="AB59" s="546"/>
      <c r="AC59" s="546"/>
      <c r="AD59" s="546"/>
      <c r="AE59" s="546"/>
      <c r="AF59" s="546"/>
      <c r="AG59" s="476"/>
      <c r="AH59" s="451"/>
      <c r="AI59" s="451"/>
      <c r="AJ59" s="451"/>
      <c r="AK59" s="451"/>
      <c r="AL59" s="451"/>
      <c r="AM59" s="451"/>
      <c r="AN59" s="471"/>
      <c r="AO59" s="471"/>
      <c r="AP59" s="471"/>
      <c r="AQ59" s="471"/>
      <c r="AR59" s="471"/>
      <c r="AS59" s="471"/>
      <c r="AT59" s="471"/>
    </row>
    <row r="60" spans="1:47" ht="15" customHeight="1" x14ac:dyDescent="0.2">
      <c r="P60" s="261"/>
      <c r="Q60" s="261"/>
      <c r="R60" s="261"/>
      <c r="S60" s="261"/>
      <c r="T60" s="261"/>
      <c r="U60" s="261"/>
      <c r="V60" s="261"/>
      <c r="Y60" s="279"/>
      <c r="Z60" s="546"/>
      <c r="AA60" s="546"/>
      <c r="AB60" s="546"/>
      <c r="AC60" s="546"/>
      <c r="AD60" s="546"/>
      <c r="AE60" s="546"/>
      <c r="AF60" s="546"/>
      <c r="AG60" s="451"/>
      <c r="AH60" s="451"/>
      <c r="AI60" s="451"/>
      <c r="AJ60" s="451"/>
      <c r="AK60" s="451"/>
      <c r="AL60" s="451"/>
      <c r="AM60" s="451"/>
      <c r="AN60" s="471"/>
      <c r="AO60" s="471"/>
      <c r="AP60" s="471"/>
      <c r="AQ60" s="471"/>
      <c r="AR60" s="471"/>
      <c r="AS60" s="471"/>
      <c r="AT60" s="471"/>
      <c r="AU60" s="257"/>
    </row>
    <row r="61" spans="1:47" ht="15" customHeight="1" x14ac:dyDescent="0.2">
      <c r="B61" s="653" t="s">
        <v>840</v>
      </c>
      <c r="C61" s="654"/>
      <c r="D61" s="654"/>
      <c r="E61" s="654"/>
      <c r="F61" s="654"/>
      <c r="G61" s="654"/>
      <c r="H61" s="654"/>
      <c r="I61" s="654"/>
      <c r="J61" s="654"/>
      <c r="K61" s="654"/>
      <c r="L61" s="654"/>
      <c r="M61" s="654"/>
      <c r="N61" s="654"/>
      <c r="O61" s="654"/>
      <c r="P61" s="654"/>
      <c r="Q61" s="654"/>
      <c r="R61" s="654"/>
      <c r="S61" s="654"/>
      <c r="T61" s="654"/>
      <c r="U61" s="654"/>
      <c r="V61" s="655"/>
      <c r="Y61" s="279"/>
      <c r="Z61" s="279"/>
      <c r="AA61" s="279"/>
      <c r="AB61" s="279"/>
      <c r="AC61" s="279"/>
      <c r="AD61" s="279"/>
      <c r="AE61" s="279"/>
      <c r="AF61" s="279"/>
      <c r="AG61" s="279"/>
      <c r="AH61" s="279"/>
      <c r="AI61" s="279"/>
      <c r="AK61" s="279"/>
      <c r="AL61" s="279"/>
      <c r="AM61" s="279"/>
      <c r="AN61" s="282"/>
      <c r="AO61" s="282"/>
      <c r="AP61" s="282"/>
      <c r="AQ61" s="282"/>
      <c r="AR61" s="282"/>
      <c r="AS61" s="282"/>
      <c r="AT61" s="282"/>
    </row>
    <row r="62" spans="1:47" ht="15" customHeight="1" x14ac:dyDescent="0.2">
      <c r="C62" s="255"/>
      <c r="D62" s="255"/>
      <c r="H62" s="662" t="s">
        <v>737</v>
      </c>
      <c r="I62" s="663"/>
      <c r="J62" s="663"/>
      <c r="K62" s="664"/>
      <c r="L62" s="297"/>
      <c r="N62" s="255"/>
      <c r="S62" s="662" t="s">
        <v>737</v>
      </c>
      <c r="T62" s="663"/>
      <c r="U62" s="663"/>
      <c r="V62" s="664"/>
      <c r="Y62" s="279"/>
      <c r="Z62" s="528" t="s">
        <v>708</v>
      </c>
      <c r="AA62" s="529"/>
      <c r="AB62" s="529"/>
      <c r="AC62" s="529"/>
      <c r="AD62" s="529"/>
      <c r="AE62" s="529"/>
      <c r="AF62" s="529"/>
      <c r="AG62" s="529"/>
      <c r="AH62" s="529"/>
      <c r="AI62" s="530"/>
      <c r="AK62" s="528" t="s">
        <v>709</v>
      </c>
      <c r="AL62" s="529"/>
      <c r="AM62" s="529"/>
      <c r="AN62" s="529"/>
      <c r="AO62" s="529"/>
      <c r="AP62" s="529"/>
      <c r="AQ62" s="529"/>
      <c r="AR62" s="529"/>
      <c r="AS62" s="529"/>
      <c r="AT62" s="530"/>
    </row>
    <row r="63" spans="1:47" ht="15" customHeight="1" x14ac:dyDescent="0.2">
      <c r="B63" s="537" t="s">
        <v>736</v>
      </c>
      <c r="C63" s="538"/>
      <c r="D63" s="538"/>
      <c r="E63" s="538"/>
      <c r="F63" s="538"/>
      <c r="G63" s="545"/>
      <c r="H63" s="306" t="s">
        <v>698</v>
      </c>
      <c r="I63" s="307"/>
      <c r="J63" s="306" t="s">
        <v>699</v>
      </c>
      <c r="K63" s="307"/>
      <c r="L63" s="295"/>
      <c r="M63" s="537" t="s">
        <v>736</v>
      </c>
      <c r="N63" s="538"/>
      <c r="O63" s="538"/>
      <c r="P63" s="538"/>
      <c r="Q63" s="538"/>
      <c r="R63" s="545"/>
      <c r="S63" s="537" t="s">
        <v>698</v>
      </c>
      <c r="T63" s="545"/>
      <c r="U63" s="537" t="s">
        <v>699</v>
      </c>
      <c r="V63" s="545"/>
      <c r="Y63" s="279"/>
      <c r="Z63" s="531"/>
      <c r="AA63" s="532"/>
      <c r="AB63" s="532"/>
      <c r="AC63" s="532"/>
      <c r="AD63" s="532"/>
      <c r="AE63" s="532"/>
      <c r="AF63" s="532"/>
      <c r="AG63" s="532"/>
      <c r="AH63" s="532"/>
      <c r="AI63" s="533"/>
      <c r="AJ63" s="255"/>
      <c r="AK63" s="531"/>
      <c r="AL63" s="532"/>
      <c r="AM63" s="532"/>
      <c r="AN63" s="532"/>
      <c r="AO63" s="532"/>
      <c r="AP63" s="532"/>
      <c r="AQ63" s="532"/>
      <c r="AR63" s="532"/>
      <c r="AS63" s="532"/>
      <c r="AT63" s="533"/>
    </row>
    <row r="64" spans="1:47" ht="15" customHeight="1" x14ac:dyDescent="0.2">
      <c r="B64" s="277" t="s">
        <v>769</v>
      </c>
      <c r="C64" s="497" t="s">
        <v>839</v>
      </c>
      <c r="D64" s="498"/>
      <c r="E64" s="522" t="s">
        <v>697</v>
      </c>
      <c r="F64" s="522"/>
      <c r="G64" s="522"/>
      <c r="H64" s="296" t="s">
        <v>739</v>
      </c>
      <c r="I64" s="296" t="s">
        <v>738</v>
      </c>
      <c r="J64" s="296" t="s">
        <v>739</v>
      </c>
      <c r="K64" s="296" t="s">
        <v>738</v>
      </c>
      <c r="L64" s="281"/>
      <c r="M64" s="277" t="s">
        <v>794</v>
      </c>
      <c r="N64" s="497" t="s">
        <v>839</v>
      </c>
      <c r="O64" s="498"/>
      <c r="P64" s="522" t="s">
        <v>697</v>
      </c>
      <c r="Q64" s="522"/>
      <c r="R64" s="522"/>
      <c r="S64" s="296" t="s">
        <v>739</v>
      </c>
      <c r="T64" s="296" t="s">
        <v>738</v>
      </c>
      <c r="U64" s="296" t="s">
        <v>739</v>
      </c>
      <c r="V64" s="296" t="s">
        <v>738</v>
      </c>
      <c r="Y64" s="279"/>
      <c r="Z64" s="531"/>
      <c r="AA64" s="532"/>
      <c r="AB64" s="532"/>
      <c r="AC64" s="532"/>
      <c r="AD64" s="532"/>
      <c r="AE64" s="532"/>
      <c r="AF64" s="532"/>
      <c r="AG64" s="532"/>
      <c r="AH64" s="532"/>
      <c r="AI64" s="533"/>
      <c r="AK64" s="531"/>
      <c r="AL64" s="532"/>
      <c r="AM64" s="532"/>
      <c r="AN64" s="532"/>
      <c r="AO64" s="532"/>
      <c r="AP64" s="532"/>
      <c r="AQ64" s="532"/>
      <c r="AR64" s="532"/>
      <c r="AS64" s="532"/>
      <c r="AT64" s="533"/>
    </row>
    <row r="65" spans="1:46" ht="15" customHeight="1" x14ac:dyDescent="0.2">
      <c r="A65" s="279"/>
      <c r="B65" s="277" t="s">
        <v>770</v>
      </c>
      <c r="C65" s="497" t="s">
        <v>839</v>
      </c>
      <c r="D65" s="498"/>
      <c r="E65" s="522" t="s">
        <v>697</v>
      </c>
      <c r="F65" s="522"/>
      <c r="G65" s="522"/>
      <c r="H65" s="296" t="s">
        <v>739</v>
      </c>
      <c r="I65" s="296" t="s">
        <v>738</v>
      </c>
      <c r="J65" s="296" t="s">
        <v>739</v>
      </c>
      <c r="K65" s="296" t="s">
        <v>738</v>
      </c>
      <c r="L65" s="281"/>
      <c r="M65" s="277" t="s">
        <v>795</v>
      </c>
      <c r="N65" s="497" t="s">
        <v>839</v>
      </c>
      <c r="O65" s="498"/>
      <c r="P65" s="522" t="s">
        <v>697</v>
      </c>
      <c r="Q65" s="522"/>
      <c r="R65" s="522"/>
      <c r="S65" s="296" t="s">
        <v>739</v>
      </c>
      <c r="T65" s="296" t="s">
        <v>738</v>
      </c>
      <c r="U65" s="296" t="s">
        <v>739</v>
      </c>
      <c r="V65" s="296" t="s">
        <v>738</v>
      </c>
      <c r="W65" s="295"/>
      <c r="Y65" s="279"/>
      <c r="Z65" s="531"/>
      <c r="AA65" s="532"/>
      <c r="AB65" s="532"/>
      <c r="AC65" s="532"/>
      <c r="AD65" s="532"/>
      <c r="AE65" s="532"/>
      <c r="AF65" s="532"/>
      <c r="AG65" s="532"/>
      <c r="AH65" s="532"/>
      <c r="AI65" s="533"/>
      <c r="AK65" s="531"/>
      <c r="AL65" s="532"/>
      <c r="AM65" s="532"/>
      <c r="AN65" s="532"/>
      <c r="AO65" s="532"/>
      <c r="AP65" s="532"/>
      <c r="AQ65" s="532"/>
      <c r="AR65" s="532"/>
      <c r="AS65" s="532"/>
      <c r="AT65" s="533"/>
    </row>
    <row r="66" spans="1:46" ht="15" customHeight="1" x14ac:dyDescent="0.2">
      <c r="A66" s="279"/>
      <c r="B66" s="277" t="s">
        <v>771</v>
      </c>
      <c r="C66" s="497" t="s">
        <v>839</v>
      </c>
      <c r="D66" s="498"/>
      <c r="E66" s="522" t="s">
        <v>697</v>
      </c>
      <c r="F66" s="522"/>
      <c r="G66" s="522"/>
      <c r="H66" s="296" t="s">
        <v>739</v>
      </c>
      <c r="I66" s="296" t="s">
        <v>738</v>
      </c>
      <c r="J66" s="296" t="s">
        <v>739</v>
      </c>
      <c r="K66" s="296" t="s">
        <v>738</v>
      </c>
      <c r="L66" s="281"/>
      <c r="M66" s="277" t="s">
        <v>796</v>
      </c>
      <c r="N66" s="497" t="s">
        <v>839</v>
      </c>
      <c r="O66" s="498"/>
      <c r="P66" s="522" t="s">
        <v>697</v>
      </c>
      <c r="Q66" s="522"/>
      <c r="R66" s="522"/>
      <c r="S66" s="296" t="s">
        <v>739</v>
      </c>
      <c r="T66" s="296" t="s">
        <v>738</v>
      </c>
      <c r="U66" s="296" t="s">
        <v>739</v>
      </c>
      <c r="V66" s="296" t="s">
        <v>738</v>
      </c>
      <c r="W66" s="280"/>
      <c r="Y66" s="279"/>
      <c r="Z66" s="531"/>
      <c r="AA66" s="532"/>
      <c r="AB66" s="532"/>
      <c r="AC66" s="532"/>
      <c r="AD66" s="532"/>
      <c r="AE66" s="532"/>
      <c r="AF66" s="532"/>
      <c r="AG66" s="532"/>
      <c r="AH66" s="532"/>
      <c r="AI66" s="533"/>
      <c r="AK66" s="531"/>
      <c r="AL66" s="532"/>
      <c r="AM66" s="532"/>
      <c r="AN66" s="532"/>
      <c r="AO66" s="532"/>
      <c r="AP66" s="532"/>
      <c r="AQ66" s="532"/>
      <c r="AR66" s="532"/>
      <c r="AS66" s="532"/>
      <c r="AT66" s="533"/>
    </row>
    <row r="67" spans="1:46" ht="15" customHeight="1" x14ac:dyDescent="0.2">
      <c r="A67" s="279"/>
      <c r="B67" s="277" t="s">
        <v>772</v>
      </c>
      <c r="C67" s="497" t="s">
        <v>839</v>
      </c>
      <c r="D67" s="498"/>
      <c r="E67" s="522" t="s">
        <v>697</v>
      </c>
      <c r="F67" s="522"/>
      <c r="G67" s="522"/>
      <c r="H67" s="296" t="s">
        <v>739</v>
      </c>
      <c r="I67" s="296" t="s">
        <v>738</v>
      </c>
      <c r="J67" s="296" t="s">
        <v>739</v>
      </c>
      <c r="K67" s="296" t="s">
        <v>738</v>
      </c>
      <c r="L67" s="281"/>
      <c r="M67" s="277" t="s">
        <v>797</v>
      </c>
      <c r="N67" s="497" t="s">
        <v>839</v>
      </c>
      <c r="O67" s="498"/>
      <c r="P67" s="522" t="s">
        <v>697</v>
      </c>
      <c r="Q67" s="522"/>
      <c r="R67" s="522"/>
      <c r="S67" s="296" t="s">
        <v>739</v>
      </c>
      <c r="T67" s="296" t="s">
        <v>738</v>
      </c>
      <c r="U67" s="296" t="s">
        <v>739</v>
      </c>
      <c r="V67" s="296" t="s">
        <v>738</v>
      </c>
      <c r="W67" s="280"/>
      <c r="Y67" s="279"/>
      <c r="Z67" s="531"/>
      <c r="AA67" s="532"/>
      <c r="AB67" s="532"/>
      <c r="AC67" s="532"/>
      <c r="AD67" s="532"/>
      <c r="AE67" s="532"/>
      <c r="AF67" s="532"/>
      <c r="AG67" s="532"/>
      <c r="AH67" s="532"/>
      <c r="AI67" s="533"/>
      <c r="AK67" s="531"/>
      <c r="AL67" s="532"/>
      <c r="AM67" s="532"/>
      <c r="AN67" s="532"/>
      <c r="AO67" s="532"/>
      <c r="AP67" s="532"/>
      <c r="AQ67" s="532"/>
      <c r="AR67" s="532"/>
      <c r="AS67" s="532"/>
      <c r="AT67" s="533"/>
    </row>
    <row r="68" spans="1:46" ht="15" customHeight="1" x14ac:dyDescent="0.2">
      <c r="A68" s="279"/>
      <c r="B68" s="277" t="s">
        <v>773</v>
      </c>
      <c r="C68" s="497" t="s">
        <v>839</v>
      </c>
      <c r="D68" s="498"/>
      <c r="E68" s="522" t="s">
        <v>697</v>
      </c>
      <c r="F68" s="522"/>
      <c r="G68" s="522"/>
      <c r="H68" s="296" t="s">
        <v>739</v>
      </c>
      <c r="I68" s="296" t="s">
        <v>738</v>
      </c>
      <c r="J68" s="296" t="s">
        <v>739</v>
      </c>
      <c r="K68" s="296" t="s">
        <v>738</v>
      </c>
      <c r="L68" s="281"/>
      <c r="M68" s="277" t="s">
        <v>798</v>
      </c>
      <c r="N68" s="497" t="s">
        <v>839</v>
      </c>
      <c r="O68" s="498"/>
      <c r="P68" s="522" t="s">
        <v>697</v>
      </c>
      <c r="Q68" s="522"/>
      <c r="R68" s="522"/>
      <c r="S68" s="296" t="s">
        <v>739</v>
      </c>
      <c r="T68" s="296" t="s">
        <v>738</v>
      </c>
      <c r="U68" s="296" t="s">
        <v>739</v>
      </c>
      <c r="V68" s="296" t="s">
        <v>738</v>
      </c>
      <c r="W68" s="280"/>
      <c r="Y68" s="279"/>
      <c r="Z68" s="531"/>
      <c r="AA68" s="532"/>
      <c r="AB68" s="532"/>
      <c r="AC68" s="532"/>
      <c r="AD68" s="532"/>
      <c r="AE68" s="532"/>
      <c r="AF68" s="532"/>
      <c r="AG68" s="532"/>
      <c r="AH68" s="532"/>
      <c r="AI68" s="533"/>
      <c r="AK68" s="531"/>
      <c r="AL68" s="532"/>
      <c r="AM68" s="532"/>
      <c r="AN68" s="532"/>
      <c r="AO68" s="532"/>
      <c r="AP68" s="532"/>
      <c r="AQ68" s="532"/>
      <c r="AR68" s="532"/>
      <c r="AS68" s="532"/>
      <c r="AT68" s="533"/>
    </row>
    <row r="69" spans="1:46" ht="15" customHeight="1" x14ac:dyDescent="0.2">
      <c r="A69" s="279"/>
      <c r="B69" s="277" t="s">
        <v>774</v>
      </c>
      <c r="C69" s="497" t="s">
        <v>839</v>
      </c>
      <c r="D69" s="498"/>
      <c r="E69" s="522" t="s">
        <v>697</v>
      </c>
      <c r="F69" s="522"/>
      <c r="G69" s="522"/>
      <c r="H69" s="296" t="s">
        <v>739</v>
      </c>
      <c r="I69" s="296" t="s">
        <v>738</v>
      </c>
      <c r="J69" s="296" t="s">
        <v>739</v>
      </c>
      <c r="K69" s="296" t="s">
        <v>738</v>
      </c>
      <c r="L69" s="281"/>
      <c r="M69" s="277" t="s">
        <v>799</v>
      </c>
      <c r="N69" s="497" t="s">
        <v>839</v>
      </c>
      <c r="O69" s="498"/>
      <c r="P69" s="522" t="s">
        <v>697</v>
      </c>
      <c r="Q69" s="522"/>
      <c r="R69" s="522"/>
      <c r="S69" s="296" t="s">
        <v>739</v>
      </c>
      <c r="T69" s="296" t="s">
        <v>738</v>
      </c>
      <c r="U69" s="296" t="s">
        <v>739</v>
      </c>
      <c r="V69" s="296" t="s">
        <v>738</v>
      </c>
      <c r="W69" s="280"/>
      <c r="Y69" s="279"/>
      <c r="Z69" s="531"/>
      <c r="AA69" s="532"/>
      <c r="AB69" s="532"/>
      <c r="AC69" s="532"/>
      <c r="AD69" s="532"/>
      <c r="AE69" s="532"/>
      <c r="AF69" s="532"/>
      <c r="AG69" s="532"/>
      <c r="AH69" s="532"/>
      <c r="AI69" s="533"/>
      <c r="AK69" s="531"/>
      <c r="AL69" s="532"/>
      <c r="AM69" s="532"/>
      <c r="AN69" s="532"/>
      <c r="AO69" s="532"/>
      <c r="AP69" s="532"/>
      <c r="AQ69" s="532"/>
      <c r="AR69" s="532"/>
      <c r="AS69" s="532"/>
      <c r="AT69" s="533"/>
    </row>
    <row r="70" spans="1:46" ht="15" customHeight="1" x14ac:dyDescent="0.2">
      <c r="A70" s="279"/>
      <c r="B70" s="277" t="s">
        <v>775</v>
      </c>
      <c r="C70" s="497" t="s">
        <v>839</v>
      </c>
      <c r="D70" s="498"/>
      <c r="E70" s="522" t="s">
        <v>697</v>
      </c>
      <c r="F70" s="522"/>
      <c r="G70" s="522"/>
      <c r="H70" s="296" t="s">
        <v>739</v>
      </c>
      <c r="I70" s="296" t="s">
        <v>738</v>
      </c>
      <c r="J70" s="296" t="s">
        <v>739</v>
      </c>
      <c r="K70" s="296" t="s">
        <v>738</v>
      </c>
      <c r="L70" s="281"/>
      <c r="M70" s="277" t="s">
        <v>800</v>
      </c>
      <c r="N70" s="497" t="s">
        <v>839</v>
      </c>
      <c r="O70" s="498"/>
      <c r="P70" s="522" t="s">
        <v>697</v>
      </c>
      <c r="Q70" s="522"/>
      <c r="R70" s="522"/>
      <c r="S70" s="296" t="s">
        <v>739</v>
      </c>
      <c r="T70" s="296" t="s">
        <v>738</v>
      </c>
      <c r="U70" s="296" t="s">
        <v>739</v>
      </c>
      <c r="V70" s="296" t="s">
        <v>738</v>
      </c>
      <c r="W70" s="280"/>
      <c r="Y70" s="279"/>
      <c r="Z70" s="531"/>
      <c r="AA70" s="532"/>
      <c r="AB70" s="532"/>
      <c r="AC70" s="532"/>
      <c r="AD70" s="532"/>
      <c r="AE70" s="532"/>
      <c r="AF70" s="532"/>
      <c r="AG70" s="532"/>
      <c r="AH70" s="532"/>
      <c r="AI70" s="533"/>
      <c r="AK70" s="531"/>
      <c r="AL70" s="532"/>
      <c r="AM70" s="532"/>
      <c r="AN70" s="532"/>
      <c r="AO70" s="532"/>
      <c r="AP70" s="532"/>
      <c r="AQ70" s="532"/>
      <c r="AR70" s="532"/>
      <c r="AS70" s="532"/>
      <c r="AT70" s="533"/>
    </row>
    <row r="71" spans="1:46" ht="15" customHeight="1" x14ac:dyDescent="0.2">
      <c r="A71" s="279"/>
      <c r="B71" s="277" t="s">
        <v>776</v>
      </c>
      <c r="C71" s="497" t="s">
        <v>839</v>
      </c>
      <c r="D71" s="498"/>
      <c r="E71" s="522" t="s">
        <v>697</v>
      </c>
      <c r="F71" s="522"/>
      <c r="G71" s="522"/>
      <c r="H71" s="296" t="s">
        <v>739</v>
      </c>
      <c r="I71" s="296" t="s">
        <v>738</v>
      </c>
      <c r="J71" s="296" t="s">
        <v>739</v>
      </c>
      <c r="K71" s="296" t="s">
        <v>738</v>
      </c>
      <c r="L71" s="281"/>
      <c r="M71" s="277" t="s">
        <v>801</v>
      </c>
      <c r="N71" s="497" t="s">
        <v>839</v>
      </c>
      <c r="O71" s="498"/>
      <c r="P71" s="522" t="s">
        <v>697</v>
      </c>
      <c r="Q71" s="522"/>
      <c r="R71" s="522"/>
      <c r="S71" s="296" t="s">
        <v>739</v>
      </c>
      <c r="T71" s="296" t="s">
        <v>738</v>
      </c>
      <c r="U71" s="296" t="s">
        <v>739</v>
      </c>
      <c r="V71" s="296" t="s">
        <v>738</v>
      </c>
      <c r="W71" s="280"/>
      <c r="Y71" s="279"/>
      <c r="Z71" s="531"/>
      <c r="AA71" s="532"/>
      <c r="AB71" s="532"/>
      <c r="AC71" s="532"/>
      <c r="AD71" s="532"/>
      <c r="AE71" s="532"/>
      <c r="AF71" s="532"/>
      <c r="AG71" s="532"/>
      <c r="AH71" s="532"/>
      <c r="AI71" s="533"/>
      <c r="AK71" s="531"/>
      <c r="AL71" s="532"/>
      <c r="AM71" s="532"/>
      <c r="AN71" s="532"/>
      <c r="AO71" s="532"/>
      <c r="AP71" s="532"/>
      <c r="AQ71" s="532"/>
      <c r="AR71" s="532"/>
      <c r="AS71" s="532"/>
      <c r="AT71" s="533"/>
    </row>
    <row r="72" spans="1:46" ht="15" customHeight="1" x14ac:dyDescent="0.2">
      <c r="A72" s="279"/>
      <c r="B72" s="277" t="s">
        <v>777</v>
      </c>
      <c r="C72" s="497" t="s">
        <v>839</v>
      </c>
      <c r="D72" s="498"/>
      <c r="E72" s="522" t="s">
        <v>697</v>
      </c>
      <c r="F72" s="522"/>
      <c r="G72" s="522"/>
      <c r="H72" s="296" t="s">
        <v>739</v>
      </c>
      <c r="I72" s="296" t="s">
        <v>738</v>
      </c>
      <c r="J72" s="296" t="s">
        <v>739</v>
      </c>
      <c r="K72" s="296" t="s">
        <v>738</v>
      </c>
      <c r="L72" s="281"/>
      <c r="M72" s="277" t="s">
        <v>802</v>
      </c>
      <c r="N72" s="497" t="s">
        <v>839</v>
      </c>
      <c r="O72" s="498"/>
      <c r="P72" s="522" t="s">
        <v>697</v>
      </c>
      <c r="Q72" s="522"/>
      <c r="R72" s="522"/>
      <c r="S72" s="296" t="s">
        <v>739</v>
      </c>
      <c r="T72" s="296" t="s">
        <v>738</v>
      </c>
      <c r="U72" s="296" t="s">
        <v>739</v>
      </c>
      <c r="V72" s="296" t="s">
        <v>738</v>
      </c>
      <c r="W72" s="280"/>
      <c r="Y72" s="279"/>
      <c r="Z72" s="531"/>
      <c r="AA72" s="532"/>
      <c r="AB72" s="532"/>
      <c r="AC72" s="532"/>
      <c r="AD72" s="532"/>
      <c r="AE72" s="532"/>
      <c r="AF72" s="532"/>
      <c r="AG72" s="532"/>
      <c r="AH72" s="532"/>
      <c r="AI72" s="533"/>
      <c r="AK72" s="531"/>
      <c r="AL72" s="532"/>
      <c r="AM72" s="532"/>
      <c r="AN72" s="532"/>
      <c r="AO72" s="532"/>
      <c r="AP72" s="532"/>
      <c r="AQ72" s="532"/>
      <c r="AR72" s="532"/>
      <c r="AS72" s="532"/>
      <c r="AT72" s="533"/>
    </row>
    <row r="73" spans="1:46" ht="15" customHeight="1" x14ac:dyDescent="0.2">
      <c r="A73" s="279"/>
      <c r="B73" s="277" t="s">
        <v>778</v>
      </c>
      <c r="C73" s="497" t="s">
        <v>839</v>
      </c>
      <c r="D73" s="498"/>
      <c r="E73" s="522" t="s">
        <v>697</v>
      </c>
      <c r="F73" s="522"/>
      <c r="G73" s="522"/>
      <c r="H73" s="296" t="s">
        <v>739</v>
      </c>
      <c r="I73" s="296" t="s">
        <v>738</v>
      </c>
      <c r="J73" s="296" t="s">
        <v>739</v>
      </c>
      <c r="K73" s="296" t="s">
        <v>738</v>
      </c>
      <c r="L73" s="281"/>
      <c r="M73" s="277" t="s">
        <v>803</v>
      </c>
      <c r="N73" s="497" t="s">
        <v>839</v>
      </c>
      <c r="O73" s="498"/>
      <c r="P73" s="522" t="s">
        <v>697</v>
      </c>
      <c r="Q73" s="522"/>
      <c r="R73" s="522"/>
      <c r="S73" s="296" t="s">
        <v>739</v>
      </c>
      <c r="T73" s="296" t="s">
        <v>738</v>
      </c>
      <c r="U73" s="296" t="s">
        <v>739</v>
      </c>
      <c r="V73" s="296" t="s">
        <v>738</v>
      </c>
      <c r="W73" s="280"/>
      <c r="Y73" s="279"/>
      <c r="Z73" s="531"/>
      <c r="AA73" s="532"/>
      <c r="AB73" s="532"/>
      <c r="AC73" s="532"/>
      <c r="AD73" s="532"/>
      <c r="AE73" s="532"/>
      <c r="AF73" s="532"/>
      <c r="AG73" s="532"/>
      <c r="AH73" s="532"/>
      <c r="AI73" s="533"/>
      <c r="AK73" s="531"/>
      <c r="AL73" s="532"/>
      <c r="AM73" s="532"/>
      <c r="AN73" s="532"/>
      <c r="AO73" s="532"/>
      <c r="AP73" s="532"/>
      <c r="AQ73" s="532"/>
      <c r="AR73" s="532"/>
      <c r="AS73" s="532"/>
      <c r="AT73" s="533"/>
    </row>
    <row r="74" spans="1:46" ht="15" customHeight="1" x14ac:dyDescent="0.2">
      <c r="A74" s="279"/>
      <c r="B74" s="277" t="s">
        <v>779</v>
      </c>
      <c r="C74" s="497" t="s">
        <v>839</v>
      </c>
      <c r="D74" s="498"/>
      <c r="E74" s="522" t="s">
        <v>697</v>
      </c>
      <c r="F74" s="522"/>
      <c r="G74" s="522"/>
      <c r="H74" s="296" t="s">
        <v>739</v>
      </c>
      <c r="I74" s="296" t="s">
        <v>738</v>
      </c>
      <c r="J74" s="296" t="s">
        <v>739</v>
      </c>
      <c r="K74" s="296" t="s">
        <v>738</v>
      </c>
      <c r="L74" s="281"/>
      <c r="M74" s="277" t="s">
        <v>804</v>
      </c>
      <c r="N74" s="497" t="s">
        <v>839</v>
      </c>
      <c r="O74" s="498"/>
      <c r="P74" s="522" t="s">
        <v>697</v>
      </c>
      <c r="Q74" s="522"/>
      <c r="R74" s="522"/>
      <c r="S74" s="296" t="s">
        <v>739</v>
      </c>
      <c r="T74" s="296" t="s">
        <v>738</v>
      </c>
      <c r="U74" s="296" t="s">
        <v>739</v>
      </c>
      <c r="V74" s="296" t="s">
        <v>738</v>
      </c>
      <c r="W74" s="280"/>
      <c r="Y74" s="279"/>
      <c r="Z74" s="531"/>
      <c r="AA74" s="532"/>
      <c r="AB74" s="532"/>
      <c r="AC74" s="532"/>
      <c r="AD74" s="532"/>
      <c r="AE74" s="532"/>
      <c r="AF74" s="532"/>
      <c r="AG74" s="532"/>
      <c r="AH74" s="532"/>
      <c r="AI74" s="533"/>
      <c r="AK74" s="531"/>
      <c r="AL74" s="532"/>
      <c r="AM74" s="532"/>
      <c r="AN74" s="532"/>
      <c r="AO74" s="532"/>
      <c r="AP74" s="532"/>
      <c r="AQ74" s="532"/>
      <c r="AR74" s="532"/>
      <c r="AS74" s="532"/>
      <c r="AT74" s="533"/>
    </row>
    <row r="75" spans="1:46" ht="15" customHeight="1" x14ac:dyDescent="0.2">
      <c r="A75" s="279"/>
      <c r="B75" s="277" t="s">
        <v>780</v>
      </c>
      <c r="C75" s="497" t="s">
        <v>839</v>
      </c>
      <c r="D75" s="498"/>
      <c r="E75" s="522" t="s">
        <v>697</v>
      </c>
      <c r="F75" s="522"/>
      <c r="G75" s="522"/>
      <c r="H75" s="296" t="s">
        <v>739</v>
      </c>
      <c r="I75" s="296" t="s">
        <v>738</v>
      </c>
      <c r="J75" s="296" t="s">
        <v>739</v>
      </c>
      <c r="K75" s="296" t="s">
        <v>738</v>
      </c>
      <c r="L75" s="281"/>
      <c r="M75" s="277" t="s">
        <v>805</v>
      </c>
      <c r="N75" s="497" t="s">
        <v>839</v>
      </c>
      <c r="O75" s="498"/>
      <c r="P75" s="522" t="s">
        <v>697</v>
      </c>
      <c r="Q75" s="522"/>
      <c r="R75" s="522"/>
      <c r="S75" s="296" t="s">
        <v>739</v>
      </c>
      <c r="T75" s="296" t="s">
        <v>738</v>
      </c>
      <c r="U75" s="296" t="s">
        <v>739</v>
      </c>
      <c r="V75" s="296" t="s">
        <v>738</v>
      </c>
      <c r="W75" s="280"/>
      <c r="Y75" s="279"/>
      <c r="Z75" s="531"/>
      <c r="AA75" s="532"/>
      <c r="AB75" s="532"/>
      <c r="AC75" s="532"/>
      <c r="AD75" s="532"/>
      <c r="AE75" s="532"/>
      <c r="AF75" s="532"/>
      <c r="AG75" s="532"/>
      <c r="AH75" s="532"/>
      <c r="AI75" s="533"/>
      <c r="AK75" s="531"/>
      <c r="AL75" s="532"/>
      <c r="AM75" s="532"/>
      <c r="AN75" s="532"/>
      <c r="AO75" s="532"/>
      <c r="AP75" s="532"/>
      <c r="AQ75" s="532"/>
      <c r="AR75" s="532"/>
      <c r="AS75" s="532"/>
      <c r="AT75" s="533"/>
    </row>
    <row r="76" spans="1:46" ht="15" customHeight="1" x14ac:dyDescent="0.2">
      <c r="A76" s="279"/>
      <c r="B76" s="277" t="s">
        <v>781</v>
      </c>
      <c r="C76" s="497" t="s">
        <v>839</v>
      </c>
      <c r="D76" s="498"/>
      <c r="E76" s="522" t="s">
        <v>697</v>
      </c>
      <c r="F76" s="522"/>
      <c r="G76" s="522"/>
      <c r="H76" s="296" t="s">
        <v>739</v>
      </c>
      <c r="I76" s="296" t="s">
        <v>738</v>
      </c>
      <c r="J76" s="296" t="s">
        <v>739</v>
      </c>
      <c r="K76" s="296" t="s">
        <v>738</v>
      </c>
      <c r="L76" s="281"/>
      <c r="M76" s="277" t="s">
        <v>806</v>
      </c>
      <c r="N76" s="497" t="s">
        <v>839</v>
      </c>
      <c r="O76" s="498"/>
      <c r="P76" s="522" t="s">
        <v>697</v>
      </c>
      <c r="Q76" s="522"/>
      <c r="R76" s="522"/>
      <c r="S76" s="296" t="s">
        <v>739</v>
      </c>
      <c r="T76" s="296" t="s">
        <v>738</v>
      </c>
      <c r="U76" s="296" t="s">
        <v>739</v>
      </c>
      <c r="V76" s="296" t="s">
        <v>738</v>
      </c>
      <c r="W76" s="280"/>
      <c r="Y76" s="279"/>
      <c r="Z76" s="534"/>
      <c r="AA76" s="535"/>
      <c r="AB76" s="535"/>
      <c r="AC76" s="535"/>
      <c r="AD76" s="535"/>
      <c r="AE76" s="535"/>
      <c r="AF76" s="535"/>
      <c r="AG76" s="535"/>
      <c r="AH76" s="535"/>
      <c r="AI76" s="536"/>
      <c r="AK76" s="534"/>
      <c r="AL76" s="535"/>
      <c r="AM76" s="535"/>
      <c r="AN76" s="535"/>
      <c r="AO76" s="535"/>
      <c r="AP76" s="535"/>
      <c r="AQ76" s="535"/>
      <c r="AR76" s="535"/>
      <c r="AS76" s="535"/>
      <c r="AT76" s="536"/>
    </row>
    <row r="77" spans="1:46" ht="15" customHeight="1" x14ac:dyDescent="0.2">
      <c r="A77" s="279"/>
      <c r="B77" s="277" t="s">
        <v>782</v>
      </c>
      <c r="C77" s="497" t="s">
        <v>839</v>
      </c>
      <c r="D77" s="498"/>
      <c r="E77" s="522" t="s">
        <v>697</v>
      </c>
      <c r="F77" s="522"/>
      <c r="G77" s="522"/>
      <c r="H77" s="296" t="s">
        <v>739</v>
      </c>
      <c r="I77" s="296" t="s">
        <v>738</v>
      </c>
      <c r="J77" s="296" t="s">
        <v>739</v>
      </c>
      <c r="K77" s="296" t="s">
        <v>738</v>
      </c>
      <c r="L77" s="281"/>
      <c r="M77" s="277" t="s">
        <v>807</v>
      </c>
      <c r="N77" s="497" t="s">
        <v>839</v>
      </c>
      <c r="O77" s="498"/>
      <c r="P77" s="522" t="s">
        <v>697</v>
      </c>
      <c r="Q77" s="522"/>
      <c r="R77" s="522"/>
      <c r="S77" s="296" t="s">
        <v>739</v>
      </c>
      <c r="T77" s="296" t="s">
        <v>738</v>
      </c>
      <c r="U77" s="296" t="s">
        <v>739</v>
      </c>
      <c r="V77" s="296" t="s">
        <v>738</v>
      </c>
      <c r="W77" s="280"/>
      <c r="Y77" s="279"/>
      <c r="Z77" s="304"/>
      <c r="AA77" s="304"/>
      <c r="AB77" s="304"/>
      <c r="AC77" s="304"/>
      <c r="AD77" s="304"/>
      <c r="AE77" s="304"/>
      <c r="AF77" s="304"/>
      <c r="AG77" s="304"/>
      <c r="AH77" s="304"/>
      <c r="AI77" s="304"/>
      <c r="AK77" s="368"/>
      <c r="AL77" s="304"/>
      <c r="AM77" s="304"/>
      <c r="AN77" s="304"/>
      <c r="AO77" s="304"/>
      <c r="AP77" s="304"/>
      <c r="AQ77" s="304"/>
      <c r="AR77" s="304"/>
      <c r="AS77" s="304"/>
      <c r="AT77" s="368"/>
    </row>
    <row r="78" spans="1:46" ht="15" customHeight="1" x14ac:dyDescent="0.2">
      <c r="A78" s="279"/>
      <c r="B78" s="277" t="s">
        <v>783</v>
      </c>
      <c r="C78" s="497" t="s">
        <v>839</v>
      </c>
      <c r="D78" s="498"/>
      <c r="E78" s="522" t="s">
        <v>697</v>
      </c>
      <c r="F78" s="522"/>
      <c r="G78" s="522"/>
      <c r="H78" s="296" t="s">
        <v>739</v>
      </c>
      <c r="I78" s="296" t="s">
        <v>738</v>
      </c>
      <c r="J78" s="296" t="s">
        <v>739</v>
      </c>
      <c r="K78" s="296" t="s">
        <v>738</v>
      </c>
      <c r="L78" s="281"/>
      <c r="M78" s="277" t="s">
        <v>808</v>
      </c>
      <c r="N78" s="497" t="s">
        <v>839</v>
      </c>
      <c r="O78" s="498"/>
      <c r="P78" s="522" t="s">
        <v>697</v>
      </c>
      <c r="Q78" s="522"/>
      <c r="R78" s="522"/>
      <c r="S78" s="296" t="s">
        <v>739</v>
      </c>
      <c r="T78" s="296" t="s">
        <v>738</v>
      </c>
      <c r="U78" s="296" t="s">
        <v>739</v>
      </c>
      <c r="V78" s="296" t="s">
        <v>738</v>
      </c>
      <c r="W78" s="280"/>
      <c r="Y78" s="279"/>
      <c r="Z78" s="528" t="s">
        <v>710</v>
      </c>
      <c r="AA78" s="529"/>
      <c r="AB78" s="529"/>
      <c r="AC78" s="529"/>
      <c r="AD78" s="529"/>
      <c r="AE78" s="529"/>
      <c r="AF78" s="529"/>
      <c r="AG78" s="529"/>
      <c r="AH78" s="529"/>
      <c r="AI78" s="530"/>
      <c r="AK78" s="528" t="s">
        <v>711</v>
      </c>
      <c r="AL78" s="529"/>
      <c r="AM78" s="529"/>
      <c r="AN78" s="529"/>
      <c r="AO78" s="529"/>
      <c r="AP78" s="529"/>
      <c r="AQ78" s="529"/>
      <c r="AR78" s="529"/>
      <c r="AS78" s="529"/>
      <c r="AT78" s="530"/>
    </row>
    <row r="79" spans="1:46" ht="15" customHeight="1" x14ac:dyDescent="0.2">
      <c r="A79" s="279"/>
      <c r="B79" s="277" t="s">
        <v>784</v>
      </c>
      <c r="C79" s="497" t="s">
        <v>839</v>
      </c>
      <c r="D79" s="498"/>
      <c r="E79" s="522" t="s">
        <v>697</v>
      </c>
      <c r="F79" s="522"/>
      <c r="G79" s="522"/>
      <c r="H79" s="296" t="s">
        <v>739</v>
      </c>
      <c r="I79" s="296" t="s">
        <v>738</v>
      </c>
      <c r="J79" s="296" t="s">
        <v>739</v>
      </c>
      <c r="K79" s="296" t="s">
        <v>738</v>
      </c>
      <c r="L79" s="281"/>
      <c r="M79" s="277" t="s">
        <v>809</v>
      </c>
      <c r="N79" s="497" t="s">
        <v>839</v>
      </c>
      <c r="O79" s="498"/>
      <c r="P79" s="522" t="s">
        <v>697</v>
      </c>
      <c r="Q79" s="522"/>
      <c r="R79" s="522"/>
      <c r="S79" s="296" t="s">
        <v>739</v>
      </c>
      <c r="T79" s="296" t="s">
        <v>738</v>
      </c>
      <c r="U79" s="296" t="s">
        <v>739</v>
      </c>
      <c r="V79" s="296" t="s">
        <v>738</v>
      </c>
      <c r="W79" s="280"/>
      <c r="Y79" s="279"/>
      <c r="Z79" s="531"/>
      <c r="AA79" s="532"/>
      <c r="AB79" s="532"/>
      <c r="AC79" s="532"/>
      <c r="AD79" s="532"/>
      <c r="AE79" s="532"/>
      <c r="AF79" s="532"/>
      <c r="AG79" s="532"/>
      <c r="AH79" s="532"/>
      <c r="AI79" s="533"/>
      <c r="AK79" s="531"/>
      <c r="AL79" s="532"/>
      <c r="AM79" s="532"/>
      <c r="AN79" s="532"/>
      <c r="AO79" s="532"/>
      <c r="AP79" s="532"/>
      <c r="AQ79" s="532"/>
      <c r="AR79" s="532"/>
      <c r="AS79" s="532"/>
      <c r="AT79" s="533"/>
    </row>
    <row r="80" spans="1:46" ht="15" customHeight="1" x14ac:dyDescent="0.2">
      <c r="A80" s="279"/>
      <c r="B80" s="277" t="s">
        <v>785</v>
      </c>
      <c r="C80" s="497" t="s">
        <v>839</v>
      </c>
      <c r="D80" s="498"/>
      <c r="E80" s="522" t="s">
        <v>697</v>
      </c>
      <c r="F80" s="522"/>
      <c r="G80" s="522"/>
      <c r="H80" s="296" t="s">
        <v>739</v>
      </c>
      <c r="I80" s="296" t="s">
        <v>738</v>
      </c>
      <c r="J80" s="296" t="s">
        <v>739</v>
      </c>
      <c r="K80" s="296" t="s">
        <v>738</v>
      </c>
      <c r="L80" s="281"/>
      <c r="M80" s="277" t="s">
        <v>810</v>
      </c>
      <c r="N80" s="497" t="s">
        <v>839</v>
      </c>
      <c r="O80" s="498"/>
      <c r="P80" s="522" t="s">
        <v>697</v>
      </c>
      <c r="Q80" s="522"/>
      <c r="R80" s="522"/>
      <c r="S80" s="296" t="s">
        <v>739</v>
      </c>
      <c r="T80" s="296" t="s">
        <v>738</v>
      </c>
      <c r="U80" s="296" t="s">
        <v>739</v>
      </c>
      <c r="V80" s="296" t="s">
        <v>738</v>
      </c>
      <c r="W80" s="280"/>
      <c r="Y80" s="279"/>
      <c r="Z80" s="531"/>
      <c r="AA80" s="532"/>
      <c r="AB80" s="532"/>
      <c r="AC80" s="532"/>
      <c r="AD80" s="532"/>
      <c r="AE80" s="532"/>
      <c r="AF80" s="532"/>
      <c r="AG80" s="532"/>
      <c r="AH80" s="532"/>
      <c r="AI80" s="533"/>
      <c r="AK80" s="531"/>
      <c r="AL80" s="532"/>
      <c r="AM80" s="532"/>
      <c r="AN80" s="532"/>
      <c r="AO80" s="532"/>
      <c r="AP80" s="532"/>
      <c r="AQ80" s="532"/>
      <c r="AR80" s="532"/>
      <c r="AS80" s="532"/>
      <c r="AT80" s="533"/>
    </row>
    <row r="81" spans="1:46" ht="15" customHeight="1" x14ac:dyDescent="0.2">
      <c r="A81" s="279"/>
      <c r="B81" s="277" t="s">
        <v>786</v>
      </c>
      <c r="C81" s="497" t="s">
        <v>839</v>
      </c>
      <c r="D81" s="498"/>
      <c r="E81" s="522" t="s">
        <v>697</v>
      </c>
      <c r="F81" s="522"/>
      <c r="G81" s="522"/>
      <c r="H81" s="296" t="s">
        <v>739</v>
      </c>
      <c r="I81" s="296" t="s">
        <v>738</v>
      </c>
      <c r="J81" s="296" t="s">
        <v>739</v>
      </c>
      <c r="K81" s="296" t="s">
        <v>738</v>
      </c>
      <c r="L81" s="281"/>
      <c r="M81" s="277" t="s">
        <v>811</v>
      </c>
      <c r="N81" s="497" t="s">
        <v>839</v>
      </c>
      <c r="O81" s="498"/>
      <c r="P81" s="522" t="s">
        <v>697</v>
      </c>
      <c r="Q81" s="522"/>
      <c r="R81" s="522"/>
      <c r="S81" s="296" t="s">
        <v>739</v>
      </c>
      <c r="T81" s="296" t="s">
        <v>738</v>
      </c>
      <c r="U81" s="296" t="s">
        <v>739</v>
      </c>
      <c r="V81" s="296" t="s">
        <v>738</v>
      </c>
      <c r="W81" s="280"/>
      <c r="Y81" s="257"/>
      <c r="Z81" s="531"/>
      <c r="AA81" s="532"/>
      <c r="AB81" s="532"/>
      <c r="AC81" s="532"/>
      <c r="AD81" s="532"/>
      <c r="AE81" s="532"/>
      <c r="AF81" s="532"/>
      <c r="AG81" s="532"/>
      <c r="AH81" s="532"/>
      <c r="AI81" s="533"/>
      <c r="AK81" s="531"/>
      <c r="AL81" s="532"/>
      <c r="AM81" s="532"/>
      <c r="AN81" s="532"/>
      <c r="AO81" s="532"/>
      <c r="AP81" s="532"/>
      <c r="AQ81" s="532"/>
      <c r="AR81" s="532"/>
      <c r="AS81" s="532"/>
      <c r="AT81" s="533"/>
    </row>
    <row r="82" spans="1:46" ht="15" customHeight="1" x14ac:dyDescent="0.2">
      <c r="A82" s="279"/>
      <c r="B82" s="277" t="s">
        <v>787</v>
      </c>
      <c r="C82" s="497" t="s">
        <v>839</v>
      </c>
      <c r="D82" s="498"/>
      <c r="E82" s="522" t="s">
        <v>697</v>
      </c>
      <c r="F82" s="522"/>
      <c r="G82" s="522"/>
      <c r="H82" s="296" t="s">
        <v>739</v>
      </c>
      <c r="I82" s="296" t="s">
        <v>738</v>
      </c>
      <c r="J82" s="296" t="s">
        <v>739</v>
      </c>
      <c r="K82" s="296" t="s">
        <v>738</v>
      </c>
      <c r="L82" s="281"/>
      <c r="M82" s="277" t="s">
        <v>812</v>
      </c>
      <c r="N82" s="497" t="s">
        <v>839</v>
      </c>
      <c r="O82" s="498"/>
      <c r="P82" s="522" t="s">
        <v>697</v>
      </c>
      <c r="Q82" s="522"/>
      <c r="R82" s="522"/>
      <c r="S82" s="296" t="s">
        <v>739</v>
      </c>
      <c r="T82" s="296" t="s">
        <v>738</v>
      </c>
      <c r="U82" s="296" t="s">
        <v>739</v>
      </c>
      <c r="V82" s="296" t="s">
        <v>738</v>
      </c>
      <c r="W82" s="280"/>
      <c r="Y82" s="257"/>
      <c r="Z82" s="531"/>
      <c r="AA82" s="532"/>
      <c r="AB82" s="532"/>
      <c r="AC82" s="532"/>
      <c r="AD82" s="532"/>
      <c r="AE82" s="532"/>
      <c r="AF82" s="532"/>
      <c r="AG82" s="532"/>
      <c r="AH82" s="532"/>
      <c r="AI82" s="533"/>
      <c r="AK82" s="531"/>
      <c r="AL82" s="532"/>
      <c r="AM82" s="532"/>
      <c r="AN82" s="532"/>
      <c r="AO82" s="532"/>
      <c r="AP82" s="532"/>
      <c r="AQ82" s="532"/>
      <c r="AR82" s="532"/>
      <c r="AS82" s="532"/>
      <c r="AT82" s="533"/>
    </row>
    <row r="83" spans="1:46" ht="15" customHeight="1" x14ac:dyDescent="0.2">
      <c r="A83" s="279"/>
      <c r="B83" s="277" t="s">
        <v>788</v>
      </c>
      <c r="C83" s="497" t="s">
        <v>839</v>
      </c>
      <c r="D83" s="498"/>
      <c r="E83" s="522" t="s">
        <v>697</v>
      </c>
      <c r="F83" s="522"/>
      <c r="G83" s="522"/>
      <c r="H83" s="296" t="s">
        <v>739</v>
      </c>
      <c r="I83" s="296" t="s">
        <v>738</v>
      </c>
      <c r="J83" s="296" t="s">
        <v>739</v>
      </c>
      <c r="K83" s="296" t="s">
        <v>738</v>
      </c>
      <c r="L83" s="281"/>
      <c r="M83" s="277" t="s">
        <v>813</v>
      </c>
      <c r="N83" s="497" t="s">
        <v>839</v>
      </c>
      <c r="O83" s="498"/>
      <c r="P83" s="522" t="s">
        <v>697</v>
      </c>
      <c r="Q83" s="522"/>
      <c r="R83" s="522"/>
      <c r="S83" s="296" t="s">
        <v>739</v>
      </c>
      <c r="T83" s="296" t="s">
        <v>738</v>
      </c>
      <c r="U83" s="296" t="s">
        <v>739</v>
      </c>
      <c r="V83" s="296" t="s">
        <v>738</v>
      </c>
      <c r="W83" s="280"/>
      <c r="Y83" s="255"/>
      <c r="Z83" s="531"/>
      <c r="AA83" s="532"/>
      <c r="AB83" s="532"/>
      <c r="AC83" s="532"/>
      <c r="AD83" s="532"/>
      <c r="AE83" s="532"/>
      <c r="AF83" s="532"/>
      <c r="AG83" s="532"/>
      <c r="AH83" s="532"/>
      <c r="AI83" s="533"/>
      <c r="AK83" s="531"/>
      <c r="AL83" s="532"/>
      <c r="AM83" s="532"/>
      <c r="AN83" s="532"/>
      <c r="AO83" s="532"/>
      <c r="AP83" s="532"/>
      <c r="AQ83" s="532"/>
      <c r="AR83" s="532"/>
      <c r="AS83" s="532"/>
      <c r="AT83" s="533"/>
    </row>
    <row r="84" spans="1:46" ht="15" customHeight="1" x14ac:dyDescent="0.2">
      <c r="A84" s="279"/>
      <c r="B84" s="277" t="s">
        <v>789</v>
      </c>
      <c r="C84" s="497" t="s">
        <v>839</v>
      </c>
      <c r="D84" s="498"/>
      <c r="E84" s="522" t="s">
        <v>697</v>
      </c>
      <c r="F84" s="522"/>
      <c r="G84" s="522"/>
      <c r="H84" s="296" t="s">
        <v>739</v>
      </c>
      <c r="I84" s="296" t="s">
        <v>738</v>
      </c>
      <c r="J84" s="296" t="s">
        <v>739</v>
      </c>
      <c r="K84" s="296" t="s">
        <v>738</v>
      </c>
      <c r="L84" s="281"/>
      <c r="M84" s="277" t="s">
        <v>814</v>
      </c>
      <c r="N84" s="497" t="s">
        <v>839</v>
      </c>
      <c r="O84" s="498"/>
      <c r="P84" s="522" t="s">
        <v>697</v>
      </c>
      <c r="Q84" s="522"/>
      <c r="R84" s="522"/>
      <c r="S84" s="296" t="s">
        <v>739</v>
      </c>
      <c r="T84" s="296" t="s">
        <v>738</v>
      </c>
      <c r="U84" s="296" t="s">
        <v>739</v>
      </c>
      <c r="V84" s="296" t="s">
        <v>738</v>
      </c>
      <c r="W84" s="280"/>
      <c r="Y84" s="255"/>
      <c r="Z84" s="531"/>
      <c r="AA84" s="532"/>
      <c r="AB84" s="532"/>
      <c r="AC84" s="532"/>
      <c r="AD84" s="532"/>
      <c r="AE84" s="532"/>
      <c r="AF84" s="532"/>
      <c r="AG84" s="532"/>
      <c r="AH84" s="532"/>
      <c r="AI84" s="533"/>
      <c r="AK84" s="531"/>
      <c r="AL84" s="532"/>
      <c r="AM84" s="532"/>
      <c r="AN84" s="532"/>
      <c r="AO84" s="532"/>
      <c r="AP84" s="532"/>
      <c r="AQ84" s="532"/>
      <c r="AR84" s="532"/>
      <c r="AS84" s="532"/>
      <c r="AT84" s="533"/>
    </row>
    <row r="85" spans="1:46" ht="15" customHeight="1" x14ac:dyDescent="0.2">
      <c r="A85" s="279"/>
      <c r="B85" s="277" t="s">
        <v>790</v>
      </c>
      <c r="C85" s="497" t="s">
        <v>839</v>
      </c>
      <c r="D85" s="498"/>
      <c r="E85" s="522" t="s">
        <v>697</v>
      </c>
      <c r="F85" s="522"/>
      <c r="G85" s="522"/>
      <c r="H85" s="296" t="s">
        <v>739</v>
      </c>
      <c r="I85" s="296" t="s">
        <v>738</v>
      </c>
      <c r="J85" s="296" t="s">
        <v>739</v>
      </c>
      <c r="K85" s="296" t="s">
        <v>738</v>
      </c>
      <c r="L85" s="281"/>
      <c r="M85" s="277" t="s">
        <v>815</v>
      </c>
      <c r="N85" s="497" t="s">
        <v>839</v>
      </c>
      <c r="O85" s="498"/>
      <c r="P85" s="522" t="s">
        <v>697</v>
      </c>
      <c r="Q85" s="522"/>
      <c r="R85" s="522"/>
      <c r="S85" s="296" t="s">
        <v>739</v>
      </c>
      <c r="T85" s="296" t="s">
        <v>738</v>
      </c>
      <c r="U85" s="296" t="s">
        <v>739</v>
      </c>
      <c r="V85" s="296" t="s">
        <v>738</v>
      </c>
      <c r="W85" s="280"/>
      <c r="Y85" s="255"/>
      <c r="Z85" s="531"/>
      <c r="AA85" s="532"/>
      <c r="AB85" s="532"/>
      <c r="AC85" s="532"/>
      <c r="AD85" s="532"/>
      <c r="AE85" s="532"/>
      <c r="AF85" s="532"/>
      <c r="AG85" s="532"/>
      <c r="AH85" s="532"/>
      <c r="AI85" s="533"/>
      <c r="AK85" s="531"/>
      <c r="AL85" s="532"/>
      <c r="AM85" s="532"/>
      <c r="AN85" s="532"/>
      <c r="AO85" s="532"/>
      <c r="AP85" s="532"/>
      <c r="AQ85" s="532"/>
      <c r="AR85" s="532"/>
      <c r="AS85" s="532"/>
      <c r="AT85" s="533"/>
    </row>
    <row r="86" spans="1:46" ht="15" customHeight="1" x14ac:dyDescent="0.2">
      <c r="A86" s="279"/>
      <c r="B86" s="277" t="s">
        <v>791</v>
      </c>
      <c r="C86" s="497" t="s">
        <v>839</v>
      </c>
      <c r="D86" s="498"/>
      <c r="E86" s="522" t="s">
        <v>697</v>
      </c>
      <c r="F86" s="522"/>
      <c r="G86" s="522"/>
      <c r="H86" s="296" t="s">
        <v>739</v>
      </c>
      <c r="I86" s="296" t="s">
        <v>738</v>
      </c>
      <c r="J86" s="296" t="s">
        <v>739</v>
      </c>
      <c r="K86" s="296" t="s">
        <v>738</v>
      </c>
      <c r="L86" s="281"/>
      <c r="M86" s="277" t="s">
        <v>816</v>
      </c>
      <c r="N86" s="497" t="s">
        <v>839</v>
      </c>
      <c r="O86" s="498"/>
      <c r="P86" s="522" t="s">
        <v>697</v>
      </c>
      <c r="Q86" s="522"/>
      <c r="R86" s="522"/>
      <c r="S86" s="296" t="s">
        <v>739</v>
      </c>
      <c r="T86" s="296" t="s">
        <v>738</v>
      </c>
      <c r="U86" s="296" t="s">
        <v>739</v>
      </c>
      <c r="V86" s="296" t="s">
        <v>738</v>
      </c>
      <c r="W86" s="280"/>
      <c r="Y86" s="255"/>
      <c r="Z86" s="531"/>
      <c r="AA86" s="532"/>
      <c r="AB86" s="532"/>
      <c r="AC86" s="532"/>
      <c r="AD86" s="532"/>
      <c r="AE86" s="532"/>
      <c r="AF86" s="532"/>
      <c r="AG86" s="532"/>
      <c r="AH86" s="532"/>
      <c r="AI86" s="533"/>
      <c r="AK86" s="531"/>
      <c r="AL86" s="532"/>
      <c r="AM86" s="532"/>
      <c r="AN86" s="532"/>
      <c r="AO86" s="532"/>
      <c r="AP86" s="532"/>
      <c r="AQ86" s="532"/>
      <c r="AR86" s="532"/>
      <c r="AS86" s="532"/>
      <c r="AT86" s="533"/>
    </row>
    <row r="87" spans="1:46" ht="15" customHeight="1" x14ac:dyDescent="0.2">
      <c r="A87" s="279"/>
      <c r="B87" s="277" t="s">
        <v>792</v>
      </c>
      <c r="C87" s="497" t="s">
        <v>839</v>
      </c>
      <c r="D87" s="498"/>
      <c r="E87" s="522" t="s">
        <v>697</v>
      </c>
      <c r="F87" s="522"/>
      <c r="G87" s="522"/>
      <c r="H87" s="296" t="s">
        <v>739</v>
      </c>
      <c r="I87" s="296" t="s">
        <v>738</v>
      </c>
      <c r="J87" s="296" t="s">
        <v>739</v>
      </c>
      <c r="K87" s="296" t="s">
        <v>738</v>
      </c>
      <c r="L87" s="281"/>
      <c r="M87" s="277" t="s">
        <v>817</v>
      </c>
      <c r="N87" s="497" t="s">
        <v>839</v>
      </c>
      <c r="O87" s="498"/>
      <c r="P87" s="522" t="s">
        <v>697</v>
      </c>
      <c r="Q87" s="522"/>
      <c r="R87" s="522"/>
      <c r="S87" s="296" t="s">
        <v>739</v>
      </c>
      <c r="T87" s="296" t="s">
        <v>738</v>
      </c>
      <c r="U87" s="296" t="s">
        <v>739</v>
      </c>
      <c r="V87" s="296" t="s">
        <v>738</v>
      </c>
      <c r="W87" s="280"/>
      <c r="Y87" s="255"/>
      <c r="Z87" s="531"/>
      <c r="AA87" s="532"/>
      <c r="AB87" s="532"/>
      <c r="AC87" s="532"/>
      <c r="AD87" s="532"/>
      <c r="AE87" s="532"/>
      <c r="AF87" s="532"/>
      <c r="AG87" s="532"/>
      <c r="AH87" s="532"/>
      <c r="AI87" s="533"/>
      <c r="AK87" s="531"/>
      <c r="AL87" s="532"/>
      <c r="AM87" s="532"/>
      <c r="AN87" s="532"/>
      <c r="AO87" s="532"/>
      <c r="AP87" s="532"/>
      <c r="AQ87" s="532"/>
      <c r="AR87" s="532"/>
      <c r="AS87" s="532"/>
      <c r="AT87" s="533"/>
    </row>
    <row r="88" spans="1:46" ht="15" customHeight="1" x14ac:dyDescent="0.2">
      <c r="A88" s="279"/>
      <c r="B88" s="277" t="s">
        <v>793</v>
      </c>
      <c r="C88" s="497" t="s">
        <v>839</v>
      </c>
      <c r="D88" s="498"/>
      <c r="E88" s="522" t="s">
        <v>697</v>
      </c>
      <c r="F88" s="522"/>
      <c r="G88" s="522"/>
      <c r="H88" s="296" t="s">
        <v>739</v>
      </c>
      <c r="I88" s="296" t="s">
        <v>738</v>
      </c>
      <c r="J88" s="296" t="s">
        <v>739</v>
      </c>
      <c r="K88" s="296" t="s">
        <v>738</v>
      </c>
      <c r="L88" s="281"/>
      <c r="M88" s="277" t="s">
        <v>818</v>
      </c>
      <c r="N88" s="497" t="s">
        <v>839</v>
      </c>
      <c r="O88" s="498"/>
      <c r="P88" s="522" t="s">
        <v>697</v>
      </c>
      <c r="Q88" s="522"/>
      <c r="R88" s="522"/>
      <c r="S88" s="296" t="s">
        <v>739</v>
      </c>
      <c r="T88" s="296" t="s">
        <v>738</v>
      </c>
      <c r="U88" s="296" t="s">
        <v>739</v>
      </c>
      <c r="V88" s="296" t="s">
        <v>738</v>
      </c>
      <c r="W88" s="280"/>
      <c r="Y88" s="255"/>
      <c r="Z88" s="531"/>
      <c r="AA88" s="532"/>
      <c r="AB88" s="532"/>
      <c r="AC88" s="532"/>
      <c r="AD88" s="532"/>
      <c r="AE88" s="532"/>
      <c r="AF88" s="532"/>
      <c r="AG88" s="532"/>
      <c r="AH88" s="532"/>
      <c r="AI88" s="533"/>
      <c r="AK88" s="531"/>
      <c r="AL88" s="532"/>
      <c r="AM88" s="532"/>
      <c r="AN88" s="532"/>
      <c r="AO88" s="532"/>
      <c r="AP88" s="532"/>
      <c r="AQ88" s="532"/>
      <c r="AR88" s="532"/>
      <c r="AS88" s="532"/>
      <c r="AT88" s="533"/>
    </row>
    <row r="89" spans="1:46" ht="15" customHeight="1" x14ac:dyDescent="0.2">
      <c r="A89" s="279"/>
      <c r="B89" s="279"/>
      <c r="C89" s="682"/>
      <c r="D89" s="682"/>
      <c r="E89" s="682"/>
      <c r="F89" s="682"/>
      <c r="G89" s="682"/>
      <c r="H89" s="281"/>
      <c r="I89" s="281"/>
      <c r="J89" s="281"/>
      <c r="K89" s="281"/>
      <c r="L89" s="281"/>
      <c r="M89" s="279"/>
      <c r="N89" s="682"/>
      <c r="O89" s="682"/>
      <c r="P89" s="682"/>
      <c r="Q89" s="682"/>
      <c r="R89" s="682"/>
      <c r="S89" s="281"/>
      <c r="T89" s="281"/>
      <c r="U89" s="281"/>
      <c r="V89" s="281"/>
      <c r="W89" s="280"/>
      <c r="Z89" s="531"/>
      <c r="AA89" s="532"/>
      <c r="AB89" s="532"/>
      <c r="AC89" s="532"/>
      <c r="AD89" s="532"/>
      <c r="AE89" s="532"/>
      <c r="AF89" s="532"/>
      <c r="AG89" s="532"/>
      <c r="AH89" s="532"/>
      <c r="AI89" s="533"/>
      <c r="AK89" s="531"/>
      <c r="AL89" s="532"/>
      <c r="AM89" s="532"/>
      <c r="AN89" s="532"/>
      <c r="AO89" s="532"/>
      <c r="AP89" s="532"/>
      <c r="AQ89" s="532"/>
      <c r="AR89" s="532"/>
      <c r="AS89" s="532"/>
      <c r="AT89" s="533"/>
    </row>
    <row r="90" spans="1:46" ht="15" customHeight="1" x14ac:dyDescent="0.2">
      <c r="A90" s="279"/>
      <c r="B90" s="686" t="s">
        <v>675</v>
      </c>
      <c r="C90" s="686"/>
      <c r="D90" s="686"/>
      <c r="E90" s="686"/>
      <c r="P90" s="299" t="s">
        <v>689</v>
      </c>
      <c r="Q90" s="273" t="s">
        <v>690</v>
      </c>
      <c r="R90" s="300" t="s">
        <v>691</v>
      </c>
      <c r="S90" s="687" t="s">
        <v>692</v>
      </c>
      <c r="T90" s="688"/>
      <c r="U90" s="688"/>
      <c r="V90" s="689"/>
      <c r="W90" s="280"/>
      <c r="Z90" s="531"/>
      <c r="AA90" s="532"/>
      <c r="AB90" s="532"/>
      <c r="AC90" s="532"/>
      <c r="AD90" s="532"/>
      <c r="AE90" s="532"/>
      <c r="AF90" s="532"/>
      <c r="AG90" s="532"/>
      <c r="AH90" s="532"/>
      <c r="AI90" s="533"/>
      <c r="AK90" s="531"/>
      <c r="AL90" s="532"/>
      <c r="AM90" s="532"/>
      <c r="AN90" s="532"/>
      <c r="AO90" s="532"/>
      <c r="AP90" s="532"/>
      <c r="AQ90" s="532"/>
      <c r="AR90" s="532"/>
      <c r="AS90" s="532"/>
      <c r="AT90" s="533"/>
    </row>
    <row r="91" spans="1:46" ht="15" customHeight="1" x14ac:dyDescent="0.2">
      <c r="A91" s="279"/>
      <c r="C91" s="270" t="s">
        <v>876</v>
      </c>
      <c r="D91" s="255"/>
      <c r="E91" s="255"/>
      <c r="F91" s="255"/>
      <c r="G91" s="255"/>
      <c r="H91" s="255"/>
      <c r="I91" s="255"/>
      <c r="J91" s="255"/>
      <c r="P91" s="274" t="s">
        <v>612</v>
      </c>
      <c r="Q91" s="275" t="s">
        <v>690</v>
      </c>
      <c r="R91" s="276" t="s">
        <v>612</v>
      </c>
      <c r="S91" s="683"/>
      <c r="T91" s="684"/>
      <c r="U91" s="684"/>
      <c r="V91" s="685"/>
      <c r="W91" s="280"/>
      <c r="Z91" s="531"/>
      <c r="AA91" s="532"/>
      <c r="AB91" s="532"/>
      <c r="AC91" s="532"/>
      <c r="AD91" s="532"/>
      <c r="AE91" s="532"/>
      <c r="AF91" s="532"/>
      <c r="AG91" s="532"/>
      <c r="AH91" s="532"/>
      <c r="AI91" s="533"/>
      <c r="AK91" s="531"/>
      <c r="AL91" s="532"/>
      <c r="AM91" s="532"/>
      <c r="AN91" s="532"/>
      <c r="AO91" s="532"/>
      <c r="AP91" s="532"/>
      <c r="AQ91" s="532"/>
      <c r="AR91" s="532"/>
      <c r="AS91" s="532"/>
      <c r="AT91" s="533"/>
    </row>
    <row r="92" spans="1:46" ht="15" customHeight="1" x14ac:dyDescent="0.2">
      <c r="A92" s="279"/>
      <c r="C92" s="315" t="s">
        <v>680</v>
      </c>
      <c r="D92" s="255"/>
      <c r="I92" s="255"/>
      <c r="J92" s="255"/>
      <c r="K92" s="255"/>
      <c r="N92" s="255"/>
      <c r="P92" s="274" t="s">
        <v>612</v>
      </c>
      <c r="Q92" s="275" t="s">
        <v>690</v>
      </c>
      <c r="R92" s="276" t="s">
        <v>612</v>
      </c>
      <c r="S92" s="683"/>
      <c r="T92" s="684"/>
      <c r="U92" s="684"/>
      <c r="V92" s="685"/>
      <c r="W92" s="280"/>
      <c r="Z92" s="531"/>
      <c r="AA92" s="532"/>
      <c r="AB92" s="532"/>
      <c r="AC92" s="532"/>
      <c r="AD92" s="532"/>
      <c r="AE92" s="532"/>
      <c r="AF92" s="532"/>
      <c r="AG92" s="532"/>
      <c r="AH92" s="532"/>
      <c r="AI92" s="533"/>
      <c r="AK92" s="531"/>
      <c r="AL92" s="532"/>
      <c r="AM92" s="532"/>
      <c r="AN92" s="532"/>
      <c r="AO92" s="532"/>
      <c r="AP92" s="532"/>
      <c r="AQ92" s="532"/>
      <c r="AR92" s="532"/>
      <c r="AS92" s="532"/>
      <c r="AT92" s="533"/>
    </row>
    <row r="93" spans="1:46" ht="15" customHeight="1" x14ac:dyDescent="0.2">
      <c r="A93" s="279"/>
      <c r="B93" s="255"/>
      <c r="C93" s="270" t="s">
        <v>681</v>
      </c>
      <c r="D93" s="255"/>
      <c r="J93" s="255"/>
      <c r="K93" s="255"/>
      <c r="N93" s="255"/>
      <c r="P93" s="274" t="s">
        <v>612</v>
      </c>
      <c r="Q93" s="275" t="s">
        <v>690</v>
      </c>
      <c r="R93" s="276" t="s">
        <v>612</v>
      </c>
      <c r="S93" s="495" t="s">
        <v>693</v>
      </c>
      <c r="T93" s="690"/>
      <c r="U93" s="690"/>
      <c r="V93" s="496"/>
      <c r="W93" s="280"/>
      <c r="Z93" s="531"/>
      <c r="AA93" s="532"/>
      <c r="AB93" s="532"/>
      <c r="AC93" s="532"/>
      <c r="AD93" s="532"/>
      <c r="AE93" s="532"/>
      <c r="AF93" s="532"/>
      <c r="AG93" s="532"/>
      <c r="AH93" s="532"/>
      <c r="AI93" s="533"/>
      <c r="AK93" s="531"/>
      <c r="AL93" s="532"/>
      <c r="AM93" s="532"/>
      <c r="AN93" s="532"/>
      <c r="AO93" s="532"/>
      <c r="AP93" s="532"/>
      <c r="AQ93" s="532"/>
      <c r="AR93" s="532"/>
      <c r="AS93" s="532"/>
      <c r="AT93" s="533"/>
    </row>
    <row r="94" spans="1:46" ht="15" customHeight="1" x14ac:dyDescent="0.2">
      <c r="A94" s="279"/>
      <c r="B94" s="264" t="s">
        <v>676</v>
      </c>
      <c r="C94" s="313"/>
      <c r="D94" s="313"/>
      <c r="E94" s="313"/>
      <c r="F94" s="313"/>
      <c r="G94" s="313"/>
      <c r="H94" s="313"/>
      <c r="I94" s="313"/>
      <c r="S94" s="271"/>
      <c r="T94" s="271"/>
      <c r="U94" s="271"/>
      <c r="V94" s="272"/>
      <c r="W94" s="280"/>
      <c r="Z94" s="531"/>
      <c r="AA94" s="532"/>
      <c r="AB94" s="532"/>
      <c r="AC94" s="532"/>
      <c r="AD94" s="532"/>
      <c r="AE94" s="532"/>
      <c r="AF94" s="532"/>
      <c r="AG94" s="532"/>
      <c r="AH94" s="532"/>
      <c r="AI94" s="533"/>
      <c r="AJ94" s="366"/>
      <c r="AK94" s="531"/>
      <c r="AL94" s="532"/>
      <c r="AM94" s="532"/>
      <c r="AN94" s="532"/>
      <c r="AO94" s="532"/>
      <c r="AP94" s="532"/>
      <c r="AQ94" s="532"/>
      <c r="AR94" s="532"/>
      <c r="AS94" s="532"/>
      <c r="AT94" s="533"/>
    </row>
    <row r="95" spans="1:46" ht="15" customHeight="1" x14ac:dyDescent="0.2">
      <c r="A95" s="279"/>
      <c r="C95" s="270" t="s">
        <v>869</v>
      </c>
      <c r="D95" s="255"/>
      <c r="E95" s="255"/>
      <c r="F95" s="255"/>
      <c r="G95" s="255"/>
      <c r="H95" s="255"/>
      <c r="I95" s="255"/>
      <c r="J95" s="255"/>
      <c r="P95" s="274" t="s">
        <v>612</v>
      </c>
      <c r="Q95" s="275" t="s">
        <v>690</v>
      </c>
      <c r="R95" s="276" t="s">
        <v>612</v>
      </c>
      <c r="S95" s="318"/>
      <c r="T95" s="319"/>
      <c r="U95" s="319"/>
      <c r="V95" s="320"/>
      <c r="W95" s="280"/>
      <c r="Z95" s="534"/>
      <c r="AA95" s="535"/>
      <c r="AB95" s="535"/>
      <c r="AC95" s="535"/>
      <c r="AD95" s="535"/>
      <c r="AE95" s="535"/>
      <c r="AF95" s="535"/>
      <c r="AG95" s="535"/>
      <c r="AH95" s="535"/>
      <c r="AI95" s="536"/>
      <c r="AJ95" s="305"/>
      <c r="AK95" s="534"/>
      <c r="AL95" s="535"/>
      <c r="AM95" s="535"/>
      <c r="AN95" s="535"/>
      <c r="AO95" s="535"/>
      <c r="AP95" s="535"/>
      <c r="AQ95" s="535"/>
      <c r="AR95" s="535"/>
      <c r="AS95" s="535"/>
      <c r="AT95" s="536"/>
    </row>
    <row r="96" spans="1:46" ht="15" customHeight="1" x14ac:dyDescent="0.2">
      <c r="A96" s="257"/>
      <c r="C96" s="270" t="s">
        <v>682</v>
      </c>
      <c r="D96" s="261"/>
      <c r="E96" s="261"/>
      <c r="F96" s="255"/>
      <c r="G96" s="255"/>
      <c r="H96" s="255"/>
      <c r="P96" s="274" t="s">
        <v>612</v>
      </c>
      <c r="Q96" s="275" t="s">
        <v>690</v>
      </c>
      <c r="R96" s="276" t="s">
        <v>612</v>
      </c>
      <c r="S96" s="318"/>
      <c r="T96" s="319"/>
      <c r="U96" s="319"/>
      <c r="V96" s="320"/>
      <c r="W96" s="257"/>
      <c r="X96" s="257"/>
      <c r="Z96" s="305"/>
      <c r="AA96" s="305"/>
      <c r="AB96" s="305"/>
      <c r="AC96" s="305"/>
      <c r="AD96" s="305"/>
      <c r="AE96" s="305"/>
      <c r="AF96" s="305"/>
      <c r="AG96" s="305"/>
      <c r="AH96" s="305"/>
      <c r="AI96" s="305"/>
      <c r="AJ96" s="305"/>
      <c r="AK96" s="305"/>
      <c r="AL96" s="305"/>
      <c r="AM96" s="305"/>
      <c r="AN96" s="305"/>
      <c r="AO96" s="305"/>
      <c r="AP96" s="305"/>
      <c r="AQ96" s="305"/>
      <c r="AR96" s="305"/>
      <c r="AS96" s="305"/>
      <c r="AT96" s="367"/>
    </row>
    <row r="97" spans="1:47" ht="15" customHeight="1" x14ac:dyDescent="0.2">
      <c r="A97" s="257"/>
      <c r="B97" s="255"/>
      <c r="C97" s="270" t="s">
        <v>870</v>
      </c>
      <c r="D97" s="255"/>
      <c r="E97" s="255"/>
      <c r="F97" s="255"/>
      <c r="G97" s="255"/>
      <c r="H97" s="255"/>
      <c r="J97" s="262"/>
      <c r="O97" s="262"/>
      <c r="P97" s="274" t="s">
        <v>612</v>
      </c>
      <c r="Q97" s="275" t="s">
        <v>690</v>
      </c>
      <c r="R97" s="276" t="s">
        <v>612</v>
      </c>
      <c r="S97" s="318"/>
      <c r="T97" s="319"/>
      <c r="U97" s="319"/>
      <c r="V97" s="320"/>
      <c r="W97" s="257"/>
      <c r="X97" s="257"/>
      <c r="Y97" s="257"/>
      <c r="Z97" s="528" t="s">
        <v>712</v>
      </c>
      <c r="AA97" s="529"/>
      <c r="AB97" s="529"/>
      <c r="AC97" s="529"/>
      <c r="AD97" s="529"/>
      <c r="AE97" s="529"/>
      <c r="AF97" s="529"/>
      <c r="AG97" s="529"/>
      <c r="AH97" s="529"/>
      <c r="AI97" s="529"/>
      <c r="AJ97" s="529"/>
      <c r="AK97" s="529"/>
      <c r="AL97" s="529"/>
      <c r="AM97" s="529"/>
      <c r="AN97" s="529"/>
      <c r="AO97" s="529"/>
      <c r="AP97" s="529"/>
      <c r="AQ97" s="529"/>
      <c r="AR97" s="529"/>
      <c r="AS97" s="529"/>
      <c r="AT97" s="530"/>
    </row>
    <row r="98" spans="1:47" ht="15" customHeight="1" x14ac:dyDescent="0.2">
      <c r="A98" s="255"/>
      <c r="B98" s="255"/>
      <c r="C98" s="270" t="s">
        <v>871</v>
      </c>
      <c r="D98" s="255"/>
      <c r="E98" s="255"/>
      <c r="F98" s="255"/>
      <c r="G98" s="255"/>
      <c r="H98" s="255"/>
      <c r="J98" s="262"/>
      <c r="O98" s="262"/>
      <c r="P98" s="274" t="s">
        <v>612</v>
      </c>
      <c r="Q98" s="275" t="s">
        <v>690</v>
      </c>
      <c r="R98" s="276" t="s">
        <v>612</v>
      </c>
      <c r="S98" s="318"/>
      <c r="T98" s="319"/>
      <c r="U98" s="319"/>
      <c r="V98" s="320"/>
      <c r="W98" s="255"/>
      <c r="X98" s="255"/>
      <c r="Y98" s="257"/>
      <c r="Z98" s="531"/>
      <c r="AA98" s="532"/>
      <c r="AB98" s="532"/>
      <c r="AC98" s="532"/>
      <c r="AD98" s="532"/>
      <c r="AE98" s="532"/>
      <c r="AF98" s="532"/>
      <c r="AG98" s="532"/>
      <c r="AH98" s="532"/>
      <c r="AI98" s="532"/>
      <c r="AJ98" s="532"/>
      <c r="AK98" s="532"/>
      <c r="AL98" s="532"/>
      <c r="AM98" s="532"/>
      <c r="AN98" s="532"/>
      <c r="AO98" s="532"/>
      <c r="AP98" s="532"/>
      <c r="AQ98" s="532"/>
      <c r="AR98" s="532"/>
      <c r="AS98" s="532"/>
      <c r="AT98" s="533"/>
    </row>
    <row r="99" spans="1:47" ht="15" customHeight="1" x14ac:dyDescent="0.2">
      <c r="A99" s="255"/>
      <c r="B99" s="255"/>
      <c r="C99" s="270" t="s">
        <v>866</v>
      </c>
      <c r="D99" s="255"/>
      <c r="E99" s="255"/>
      <c r="F99" s="255"/>
      <c r="G99" s="255"/>
      <c r="H99" s="255"/>
      <c r="J99" s="262"/>
      <c r="O99" s="262"/>
      <c r="P99" s="274" t="s">
        <v>612</v>
      </c>
      <c r="Q99" s="275" t="s">
        <v>690</v>
      </c>
      <c r="R99" s="276" t="s">
        <v>612</v>
      </c>
      <c r="S99" s="328"/>
      <c r="T99" s="329" t="s">
        <v>694</v>
      </c>
      <c r="U99" s="329"/>
      <c r="V99" s="330"/>
      <c r="W99" s="255"/>
      <c r="X99" s="255"/>
      <c r="Y99" s="257"/>
      <c r="Z99" s="531"/>
      <c r="AA99" s="532"/>
      <c r="AB99" s="532"/>
      <c r="AC99" s="532"/>
      <c r="AD99" s="532"/>
      <c r="AE99" s="532"/>
      <c r="AF99" s="532"/>
      <c r="AG99" s="532"/>
      <c r="AH99" s="532"/>
      <c r="AI99" s="532"/>
      <c r="AJ99" s="532"/>
      <c r="AK99" s="532"/>
      <c r="AL99" s="532"/>
      <c r="AM99" s="532"/>
      <c r="AN99" s="532"/>
      <c r="AO99" s="532"/>
      <c r="AP99" s="532"/>
      <c r="AQ99" s="532"/>
      <c r="AR99" s="532"/>
      <c r="AS99" s="532"/>
      <c r="AT99" s="533"/>
    </row>
    <row r="100" spans="1:47" ht="15" customHeight="1" x14ac:dyDescent="0.2">
      <c r="A100" s="255"/>
      <c r="B100" s="255"/>
      <c r="C100" s="270" t="s">
        <v>867</v>
      </c>
      <c r="P100" s="274" t="s">
        <v>612</v>
      </c>
      <c r="Q100" s="275" t="s">
        <v>690</v>
      </c>
      <c r="R100" s="276" t="s">
        <v>612</v>
      </c>
      <c r="S100" s="328"/>
      <c r="T100" s="329" t="s">
        <v>694</v>
      </c>
      <c r="U100" s="329"/>
      <c r="V100" s="330"/>
      <c r="W100" s="255"/>
      <c r="X100" s="255"/>
      <c r="Y100" s="257"/>
      <c r="Z100" s="531"/>
      <c r="AA100" s="532"/>
      <c r="AB100" s="532"/>
      <c r="AC100" s="532"/>
      <c r="AD100" s="532"/>
      <c r="AE100" s="532"/>
      <c r="AF100" s="532"/>
      <c r="AG100" s="532"/>
      <c r="AH100" s="532"/>
      <c r="AI100" s="532"/>
      <c r="AJ100" s="532"/>
      <c r="AK100" s="532"/>
      <c r="AL100" s="532"/>
      <c r="AM100" s="532"/>
      <c r="AN100" s="532"/>
      <c r="AO100" s="532"/>
      <c r="AP100" s="532"/>
      <c r="AQ100" s="532"/>
      <c r="AR100" s="532"/>
      <c r="AS100" s="532"/>
      <c r="AT100" s="533"/>
    </row>
    <row r="101" spans="1:47" ht="15" customHeight="1" x14ac:dyDescent="0.2">
      <c r="A101" s="255"/>
      <c r="B101" s="255"/>
      <c r="C101" s="270" t="s">
        <v>767</v>
      </c>
      <c r="D101" s="255"/>
      <c r="E101" s="255"/>
      <c r="F101" s="255"/>
      <c r="G101" s="255"/>
      <c r="H101" s="255"/>
      <c r="J101" s="262"/>
      <c r="O101" s="262"/>
      <c r="P101" s="274" t="s">
        <v>612</v>
      </c>
      <c r="Q101" s="275" t="s">
        <v>690</v>
      </c>
      <c r="R101" s="276" t="s">
        <v>612</v>
      </c>
      <c r="S101" s="328"/>
      <c r="T101" s="329" t="s">
        <v>694</v>
      </c>
      <c r="U101" s="329"/>
      <c r="V101" s="330"/>
      <c r="W101" s="255"/>
      <c r="X101" s="255"/>
      <c r="Y101" s="257"/>
      <c r="Z101" s="531"/>
      <c r="AA101" s="532"/>
      <c r="AB101" s="532"/>
      <c r="AC101" s="532"/>
      <c r="AD101" s="532"/>
      <c r="AE101" s="532"/>
      <c r="AF101" s="532"/>
      <c r="AG101" s="532"/>
      <c r="AH101" s="532"/>
      <c r="AI101" s="532"/>
      <c r="AJ101" s="532"/>
      <c r="AK101" s="532"/>
      <c r="AL101" s="532"/>
      <c r="AM101" s="532"/>
      <c r="AN101" s="532"/>
      <c r="AO101" s="532"/>
      <c r="AP101" s="532"/>
      <c r="AQ101" s="532"/>
      <c r="AR101" s="532"/>
      <c r="AS101" s="532"/>
      <c r="AT101" s="533"/>
    </row>
    <row r="102" spans="1:47" ht="15" customHeight="1" x14ac:dyDescent="0.2">
      <c r="A102" s="255"/>
      <c r="C102" s="270" t="s">
        <v>683</v>
      </c>
      <c r="D102" s="255"/>
      <c r="E102" s="255"/>
      <c r="F102" s="255"/>
      <c r="G102" s="255"/>
      <c r="H102" s="255"/>
      <c r="J102" s="262"/>
      <c r="O102" s="262"/>
      <c r="P102" s="302" t="s">
        <v>695</v>
      </c>
      <c r="Q102" s="275"/>
      <c r="R102" s="276"/>
      <c r="S102" s="302" t="s">
        <v>696</v>
      </c>
      <c r="T102" s="314"/>
      <c r="U102" s="314"/>
      <c r="V102" s="298"/>
      <c r="W102" s="255"/>
      <c r="X102" s="255"/>
      <c r="Y102" s="257"/>
      <c r="Z102" s="531"/>
      <c r="AA102" s="532"/>
      <c r="AB102" s="532"/>
      <c r="AC102" s="532"/>
      <c r="AD102" s="532"/>
      <c r="AE102" s="532"/>
      <c r="AF102" s="532"/>
      <c r="AG102" s="532"/>
      <c r="AH102" s="532"/>
      <c r="AI102" s="532"/>
      <c r="AJ102" s="532"/>
      <c r="AK102" s="532"/>
      <c r="AL102" s="532"/>
      <c r="AM102" s="532"/>
      <c r="AN102" s="532"/>
      <c r="AO102" s="532"/>
      <c r="AP102" s="532"/>
      <c r="AQ102" s="532"/>
      <c r="AR102" s="532"/>
      <c r="AS102" s="532"/>
      <c r="AT102" s="533"/>
    </row>
    <row r="103" spans="1:47" ht="15" customHeight="1" x14ac:dyDescent="0.2">
      <c r="A103" s="255"/>
      <c r="B103" s="264" t="s">
        <v>678</v>
      </c>
      <c r="C103" s="264"/>
      <c r="D103" s="264"/>
      <c r="E103" s="264"/>
      <c r="F103" s="264"/>
      <c r="J103" s="256"/>
      <c r="K103" s="256"/>
      <c r="O103" s="262"/>
      <c r="P103" s="256"/>
      <c r="S103" s="271"/>
      <c r="T103" s="271"/>
      <c r="U103" s="271"/>
      <c r="V103" s="271"/>
      <c r="W103" s="255"/>
      <c r="X103" s="255"/>
      <c r="Y103" s="255"/>
      <c r="Z103" s="531"/>
      <c r="AA103" s="532"/>
      <c r="AB103" s="532"/>
      <c r="AC103" s="532"/>
      <c r="AD103" s="532"/>
      <c r="AE103" s="532"/>
      <c r="AF103" s="532"/>
      <c r="AG103" s="532"/>
      <c r="AH103" s="532"/>
      <c r="AI103" s="532"/>
      <c r="AJ103" s="532"/>
      <c r="AK103" s="532"/>
      <c r="AL103" s="532"/>
      <c r="AM103" s="532"/>
      <c r="AN103" s="532"/>
      <c r="AO103" s="532"/>
      <c r="AP103" s="532"/>
      <c r="AQ103" s="532"/>
      <c r="AR103" s="532"/>
      <c r="AS103" s="532"/>
      <c r="AT103" s="533"/>
    </row>
    <row r="104" spans="1:47" ht="15" customHeight="1" x14ac:dyDescent="0.2">
      <c r="A104" s="255"/>
      <c r="B104" s="255"/>
      <c r="C104" s="270" t="s">
        <v>684</v>
      </c>
      <c r="P104" s="274" t="s">
        <v>612</v>
      </c>
      <c r="Q104" s="275" t="s">
        <v>690</v>
      </c>
      <c r="R104" s="276" t="s">
        <v>612</v>
      </c>
      <c r="S104" s="318"/>
      <c r="T104" s="319"/>
      <c r="U104" s="319"/>
      <c r="V104" s="320"/>
      <c r="W104" s="255"/>
      <c r="X104" s="255"/>
      <c r="Y104" s="255"/>
      <c r="Z104" s="531"/>
      <c r="AA104" s="532"/>
      <c r="AB104" s="532"/>
      <c r="AC104" s="532"/>
      <c r="AD104" s="532"/>
      <c r="AE104" s="532"/>
      <c r="AF104" s="532"/>
      <c r="AG104" s="532"/>
      <c r="AH104" s="532"/>
      <c r="AI104" s="532"/>
      <c r="AJ104" s="532"/>
      <c r="AK104" s="532"/>
      <c r="AL104" s="532"/>
      <c r="AM104" s="532"/>
      <c r="AN104" s="532"/>
      <c r="AO104" s="532"/>
      <c r="AP104" s="532"/>
      <c r="AQ104" s="532"/>
      <c r="AR104" s="532"/>
      <c r="AS104" s="532"/>
      <c r="AT104" s="533"/>
    </row>
    <row r="105" spans="1:47" ht="15" customHeight="1" x14ac:dyDescent="0.2">
      <c r="B105" s="255"/>
      <c r="C105" s="270" t="s">
        <v>685</v>
      </c>
      <c r="P105" s="274" t="s">
        <v>612</v>
      </c>
      <c r="Q105" s="275" t="s">
        <v>690</v>
      </c>
      <c r="R105" s="276" t="s">
        <v>612</v>
      </c>
      <c r="S105" s="318"/>
      <c r="T105" s="319"/>
      <c r="U105" s="319"/>
      <c r="V105" s="320"/>
      <c r="Z105" s="531"/>
      <c r="AA105" s="532"/>
      <c r="AB105" s="532"/>
      <c r="AC105" s="532"/>
      <c r="AD105" s="532"/>
      <c r="AE105" s="532"/>
      <c r="AF105" s="532"/>
      <c r="AG105" s="532"/>
      <c r="AH105" s="532"/>
      <c r="AI105" s="532"/>
      <c r="AJ105" s="532"/>
      <c r="AK105" s="532"/>
      <c r="AL105" s="532"/>
      <c r="AM105" s="532"/>
      <c r="AN105" s="532"/>
      <c r="AO105" s="532"/>
      <c r="AP105" s="532"/>
      <c r="AQ105" s="532"/>
      <c r="AR105" s="532"/>
      <c r="AS105" s="532"/>
      <c r="AT105" s="533"/>
    </row>
    <row r="106" spans="1:47" ht="15" customHeight="1" x14ac:dyDescent="0.2">
      <c r="A106" s="257"/>
      <c r="B106" s="255"/>
      <c r="C106" s="270" t="s">
        <v>686</v>
      </c>
      <c r="P106" s="274" t="s">
        <v>612</v>
      </c>
      <c r="Q106" s="275" t="s">
        <v>690</v>
      </c>
      <c r="R106" s="276" t="s">
        <v>612</v>
      </c>
      <c r="S106" s="318"/>
      <c r="T106" s="319"/>
      <c r="U106" s="319"/>
      <c r="V106" s="320"/>
      <c r="W106" s="257"/>
      <c r="X106" s="257"/>
      <c r="Y106" s="257"/>
      <c r="Z106" s="531"/>
      <c r="AA106" s="532"/>
      <c r="AB106" s="532"/>
      <c r="AC106" s="532"/>
      <c r="AD106" s="532"/>
      <c r="AE106" s="532"/>
      <c r="AF106" s="532"/>
      <c r="AG106" s="532"/>
      <c r="AH106" s="532"/>
      <c r="AI106" s="532"/>
      <c r="AJ106" s="532"/>
      <c r="AK106" s="532"/>
      <c r="AL106" s="532"/>
      <c r="AM106" s="532"/>
      <c r="AN106" s="532"/>
      <c r="AO106" s="532"/>
      <c r="AP106" s="532"/>
      <c r="AQ106" s="532"/>
      <c r="AR106" s="532"/>
      <c r="AS106" s="532"/>
      <c r="AT106" s="533"/>
    </row>
    <row r="107" spans="1:47" ht="15" customHeight="1" x14ac:dyDescent="0.2">
      <c r="A107" s="257"/>
      <c r="B107" s="255"/>
      <c r="C107" s="270" t="s">
        <v>761</v>
      </c>
      <c r="P107" s="274" t="s">
        <v>612</v>
      </c>
      <c r="Q107" s="275" t="s">
        <v>690</v>
      </c>
      <c r="R107" s="276" t="s">
        <v>612</v>
      </c>
      <c r="S107" s="318"/>
      <c r="T107" s="319"/>
      <c r="U107" s="319"/>
      <c r="V107" s="320"/>
      <c r="W107" s="257"/>
      <c r="X107" s="257"/>
      <c r="Y107" s="257"/>
      <c r="Z107" s="531"/>
      <c r="AA107" s="532"/>
      <c r="AB107" s="532"/>
      <c r="AC107" s="532"/>
      <c r="AD107" s="532"/>
      <c r="AE107" s="532"/>
      <c r="AF107" s="532"/>
      <c r="AG107" s="532"/>
      <c r="AH107" s="532"/>
      <c r="AI107" s="532"/>
      <c r="AJ107" s="532"/>
      <c r="AK107" s="532"/>
      <c r="AL107" s="532"/>
      <c r="AM107" s="532"/>
      <c r="AN107" s="532"/>
      <c r="AO107" s="532"/>
      <c r="AP107" s="532"/>
      <c r="AQ107" s="532"/>
      <c r="AR107" s="532"/>
      <c r="AS107" s="532"/>
      <c r="AT107" s="533"/>
      <c r="AU107" s="294"/>
    </row>
    <row r="108" spans="1:47" ht="15" customHeight="1" x14ac:dyDescent="0.2">
      <c r="A108" s="257"/>
      <c r="B108" s="255"/>
      <c r="C108" s="270" t="s">
        <v>687</v>
      </c>
      <c r="P108" s="274" t="s">
        <v>612</v>
      </c>
      <c r="Q108" s="275" t="s">
        <v>690</v>
      </c>
      <c r="R108" s="276" t="s">
        <v>612</v>
      </c>
      <c r="S108" s="683"/>
      <c r="T108" s="684"/>
      <c r="U108" s="684"/>
      <c r="V108" s="685"/>
      <c r="W108" s="257"/>
      <c r="X108" s="257"/>
      <c r="Y108" s="257"/>
      <c r="Z108" s="531"/>
      <c r="AA108" s="532"/>
      <c r="AB108" s="532"/>
      <c r="AC108" s="532"/>
      <c r="AD108" s="532"/>
      <c r="AE108" s="532"/>
      <c r="AF108" s="532"/>
      <c r="AG108" s="532"/>
      <c r="AH108" s="532"/>
      <c r="AI108" s="532"/>
      <c r="AJ108" s="532"/>
      <c r="AK108" s="532"/>
      <c r="AL108" s="532"/>
      <c r="AM108" s="532"/>
      <c r="AN108" s="532"/>
      <c r="AO108" s="532"/>
      <c r="AP108" s="532"/>
      <c r="AQ108" s="532"/>
      <c r="AR108" s="532"/>
      <c r="AS108" s="532"/>
      <c r="AT108" s="533"/>
      <c r="AU108" s="294"/>
    </row>
    <row r="109" spans="1:47" ht="15" customHeight="1" x14ac:dyDescent="0.2">
      <c r="A109" s="257"/>
      <c r="B109" s="264" t="s">
        <v>679</v>
      </c>
      <c r="C109" s="313"/>
      <c r="D109" s="313"/>
      <c r="E109" s="313"/>
      <c r="F109" s="313"/>
      <c r="G109" s="313"/>
      <c r="S109" s="271"/>
      <c r="T109" s="271"/>
      <c r="U109" s="271"/>
      <c r="V109" s="271"/>
      <c r="W109" s="257"/>
      <c r="X109" s="257"/>
      <c r="Y109" s="257"/>
      <c r="Z109" s="534"/>
      <c r="AA109" s="535"/>
      <c r="AB109" s="535"/>
      <c r="AC109" s="535"/>
      <c r="AD109" s="535"/>
      <c r="AE109" s="535"/>
      <c r="AF109" s="535"/>
      <c r="AG109" s="535"/>
      <c r="AH109" s="535"/>
      <c r="AI109" s="535"/>
      <c r="AJ109" s="535"/>
      <c r="AK109" s="535"/>
      <c r="AL109" s="535"/>
      <c r="AM109" s="535"/>
      <c r="AN109" s="535"/>
      <c r="AO109" s="535"/>
      <c r="AP109" s="535"/>
      <c r="AQ109" s="535"/>
      <c r="AR109" s="535"/>
      <c r="AS109" s="535"/>
      <c r="AT109" s="536"/>
      <c r="AU109" s="255"/>
    </row>
    <row r="110" spans="1:47" ht="15" customHeight="1" x14ac:dyDescent="0.2">
      <c r="A110" s="257"/>
      <c r="B110" s="255"/>
      <c r="C110" s="270" t="s">
        <v>872</v>
      </c>
      <c r="P110" s="274" t="s">
        <v>612</v>
      </c>
      <c r="Q110" s="275" t="s">
        <v>690</v>
      </c>
      <c r="R110" s="276" t="s">
        <v>612</v>
      </c>
      <c r="S110" s="683"/>
      <c r="T110" s="684"/>
      <c r="U110" s="684"/>
      <c r="V110" s="685"/>
      <c r="W110" s="257"/>
      <c r="X110" s="257"/>
      <c r="Y110" s="257"/>
      <c r="Z110" s="305"/>
      <c r="AA110" s="305"/>
      <c r="AB110" s="305"/>
      <c r="AC110" s="305"/>
      <c r="AD110" s="305"/>
      <c r="AE110" s="305"/>
      <c r="AF110" s="305"/>
      <c r="AG110" s="305"/>
      <c r="AH110" s="305"/>
      <c r="AI110" s="305"/>
      <c r="AJ110" s="305"/>
      <c r="AK110" s="305"/>
      <c r="AL110" s="305"/>
      <c r="AM110" s="305"/>
      <c r="AN110" s="305"/>
      <c r="AO110" s="305"/>
      <c r="AP110" s="305"/>
      <c r="AQ110" s="305"/>
      <c r="AR110" s="305"/>
      <c r="AS110" s="305"/>
      <c r="AT110" s="305"/>
      <c r="AU110" s="255"/>
    </row>
    <row r="111" spans="1:47" ht="15" customHeight="1" x14ac:dyDescent="0.2">
      <c r="A111" s="257"/>
      <c r="B111" s="256"/>
      <c r="C111" s="270" t="s">
        <v>688</v>
      </c>
      <c r="F111" s="256"/>
      <c r="K111" s="256"/>
      <c r="P111" s="274" t="s">
        <v>612</v>
      </c>
      <c r="Q111" s="275" t="s">
        <v>690</v>
      </c>
      <c r="R111" s="276" t="s">
        <v>612</v>
      </c>
      <c r="S111" s="683"/>
      <c r="T111" s="684"/>
      <c r="U111" s="684"/>
      <c r="V111" s="685"/>
      <c r="W111" s="257"/>
      <c r="X111" s="257"/>
      <c r="Y111" s="257"/>
      <c r="AU111" s="255"/>
    </row>
    <row r="112" spans="1:47" ht="15" customHeight="1" x14ac:dyDescent="0.2">
      <c r="A112" s="257"/>
      <c r="B112" s="256"/>
      <c r="C112" s="270"/>
      <c r="F112" s="256"/>
      <c r="K112" s="256"/>
      <c r="S112" s="271"/>
      <c r="T112" s="271"/>
      <c r="U112" s="271"/>
      <c r="V112" s="271"/>
      <c r="W112" s="257"/>
      <c r="X112" s="257"/>
      <c r="Y112" s="257"/>
      <c r="AU112" s="255"/>
    </row>
    <row r="113" spans="1:47" ht="15" customHeight="1" thickBot="1" x14ac:dyDescent="0.25">
      <c r="A113" s="255"/>
      <c r="B113" s="546"/>
      <c r="C113" s="546"/>
      <c r="D113" s="546"/>
      <c r="E113" s="546"/>
      <c r="F113" s="546"/>
      <c r="G113" s="546"/>
      <c r="H113" s="546"/>
      <c r="I113" s="476" t="s">
        <v>668</v>
      </c>
      <c r="J113" s="451"/>
      <c r="K113" s="451"/>
      <c r="L113" s="451"/>
      <c r="M113" s="451"/>
      <c r="N113" s="451"/>
      <c r="O113" s="451"/>
      <c r="P113" s="471" t="str">
        <f>P1</f>
        <v>Date : 04/12/2024
Rév : J</v>
      </c>
      <c r="Q113" s="471"/>
      <c r="R113" s="471"/>
      <c r="S113" s="471"/>
      <c r="T113" s="471"/>
      <c r="U113" s="471"/>
      <c r="V113" s="471"/>
      <c r="X113" s="257"/>
      <c r="Y113" s="257"/>
    </row>
    <row r="114" spans="1:47" ht="15" customHeight="1" x14ac:dyDescent="0.2">
      <c r="A114" s="278"/>
      <c r="B114" s="546"/>
      <c r="C114" s="546"/>
      <c r="D114" s="546"/>
      <c r="E114" s="546"/>
      <c r="F114" s="546"/>
      <c r="G114" s="546"/>
      <c r="H114" s="546"/>
      <c r="I114" s="476"/>
      <c r="J114" s="451"/>
      <c r="K114" s="451"/>
      <c r="L114" s="451"/>
      <c r="M114" s="451"/>
      <c r="N114" s="451"/>
      <c r="O114" s="451"/>
      <c r="P114" s="471"/>
      <c r="Q114" s="471"/>
      <c r="R114" s="471"/>
      <c r="S114" s="471"/>
      <c r="T114" s="471"/>
      <c r="U114" s="471"/>
      <c r="V114" s="471"/>
      <c r="W114" s="279"/>
      <c r="Z114" s="598" t="s">
        <v>713</v>
      </c>
      <c r="AA114" s="599"/>
      <c r="AB114" s="599"/>
      <c r="AC114" s="599"/>
      <c r="AD114" s="599"/>
      <c r="AE114" s="599"/>
      <c r="AF114" s="599"/>
      <c r="AG114" s="599"/>
      <c r="AH114" s="599"/>
      <c r="AI114" s="599"/>
      <c r="AJ114" s="599"/>
      <c r="AK114" s="599"/>
      <c r="AL114" s="599"/>
      <c r="AM114" s="599"/>
      <c r="AN114" s="599"/>
      <c r="AO114" s="599"/>
      <c r="AP114" s="599"/>
      <c r="AQ114" s="599"/>
      <c r="AR114" s="599"/>
      <c r="AS114" s="599"/>
      <c r="AT114" s="600"/>
      <c r="AU114" s="257"/>
    </row>
    <row r="115" spans="1:47" ht="15" customHeight="1" thickBot="1" x14ac:dyDescent="0.25">
      <c r="A115" s="279"/>
      <c r="B115" s="546"/>
      <c r="C115" s="546"/>
      <c r="D115" s="546"/>
      <c r="E115" s="546"/>
      <c r="F115" s="546"/>
      <c r="G115" s="546"/>
      <c r="H115" s="546"/>
      <c r="I115" s="451"/>
      <c r="J115" s="451"/>
      <c r="K115" s="451"/>
      <c r="L115" s="451"/>
      <c r="M115" s="451"/>
      <c r="N115" s="451"/>
      <c r="O115" s="451"/>
      <c r="P115" s="471"/>
      <c r="Q115" s="471"/>
      <c r="R115" s="471"/>
      <c r="S115" s="471"/>
      <c r="T115" s="471"/>
      <c r="U115" s="471"/>
      <c r="V115" s="471"/>
      <c r="W115" s="279"/>
      <c r="Z115" s="601"/>
      <c r="AA115" s="602"/>
      <c r="AB115" s="602"/>
      <c r="AC115" s="602"/>
      <c r="AD115" s="602"/>
      <c r="AE115" s="602"/>
      <c r="AF115" s="602"/>
      <c r="AG115" s="602"/>
      <c r="AH115" s="602"/>
      <c r="AI115" s="602"/>
      <c r="AJ115" s="602"/>
      <c r="AK115" s="602"/>
      <c r="AL115" s="602"/>
      <c r="AM115" s="602"/>
      <c r="AN115" s="602"/>
      <c r="AO115" s="602"/>
      <c r="AP115" s="602"/>
      <c r="AQ115" s="602"/>
      <c r="AR115" s="602"/>
      <c r="AS115" s="602"/>
      <c r="AT115" s="603"/>
    </row>
    <row r="116" spans="1:47" ht="15" customHeight="1" thickBot="1" x14ac:dyDescent="0.25">
      <c r="B116" s="255"/>
      <c r="F116" s="256"/>
      <c r="I116" s="256"/>
      <c r="L116" s="256"/>
      <c r="Z116" s="604" t="s">
        <v>701</v>
      </c>
      <c r="AA116" s="605"/>
      <c r="AB116" s="605"/>
      <c r="AC116" s="605"/>
      <c r="AD116" s="605"/>
      <c r="AE116" s="605"/>
      <c r="AF116" s="605"/>
      <c r="AG116" s="605"/>
      <c r="AH116" s="605"/>
      <c r="AI116" s="605"/>
      <c r="AJ116" s="605"/>
      <c r="AK116" s="605"/>
      <c r="AL116" s="605"/>
      <c r="AM116" s="606"/>
      <c r="AN116" s="640" t="s">
        <v>702</v>
      </c>
      <c r="AO116" s="640"/>
      <c r="AP116" s="640"/>
      <c r="AQ116" s="640"/>
      <c r="AR116" s="640"/>
      <c r="AS116" s="640"/>
      <c r="AT116" s="640"/>
    </row>
    <row r="117" spans="1:47" ht="15" customHeight="1" thickBot="1" x14ac:dyDescent="0.25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Z117" s="631" t="str">
        <f>Z5</f>
        <v>SARL LNJ</v>
      </c>
      <c r="AA117" s="632"/>
      <c r="AB117" s="632"/>
      <c r="AC117" s="632"/>
      <c r="AD117" s="632"/>
      <c r="AE117" s="632"/>
      <c r="AF117" s="632"/>
      <c r="AG117" s="632"/>
      <c r="AH117" s="632"/>
      <c r="AI117" s="632"/>
      <c r="AJ117" s="632"/>
      <c r="AK117" s="632"/>
      <c r="AL117" s="632"/>
      <c r="AM117" s="633"/>
      <c r="AN117" s="641" t="str">
        <f>AN5</f>
        <v>S03</v>
      </c>
      <c r="AO117" s="641"/>
      <c r="AP117" s="641"/>
      <c r="AQ117" s="641"/>
      <c r="AR117" s="641"/>
      <c r="AS117" s="641"/>
      <c r="AT117" s="641"/>
    </row>
    <row r="118" spans="1:47" ht="15" customHeight="1" thickBot="1" x14ac:dyDescent="0.25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288"/>
      <c r="Y118" s="288"/>
      <c r="Z118" s="634"/>
      <c r="AA118" s="635"/>
      <c r="AB118" s="635"/>
      <c r="AC118" s="635"/>
      <c r="AD118" s="635"/>
      <c r="AE118" s="635"/>
      <c r="AF118" s="635"/>
      <c r="AG118" s="635"/>
      <c r="AH118" s="635"/>
      <c r="AI118" s="635"/>
      <c r="AJ118" s="635"/>
      <c r="AK118" s="635"/>
      <c r="AL118" s="635"/>
      <c r="AM118" s="636"/>
      <c r="AN118" s="641"/>
      <c r="AO118" s="641"/>
      <c r="AP118" s="641"/>
      <c r="AQ118" s="641"/>
      <c r="AR118" s="641"/>
      <c r="AS118" s="641"/>
      <c r="AT118" s="641"/>
    </row>
    <row r="119" spans="1:47" ht="15" customHeight="1" thickBot="1" x14ac:dyDescent="0.25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288"/>
      <c r="Y119" s="288"/>
      <c r="Z119" s="634"/>
      <c r="AA119" s="635"/>
      <c r="AB119" s="635"/>
      <c r="AC119" s="635"/>
      <c r="AD119" s="635"/>
      <c r="AE119" s="635"/>
      <c r="AF119" s="635"/>
      <c r="AG119" s="635"/>
      <c r="AH119" s="635"/>
      <c r="AI119" s="635"/>
      <c r="AJ119" s="635"/>
      <c r="AK119" s="635"/>
      <c r="AL119" s="635"/>
      <c r="AM119" s="636"/>
      <c r="AN119" s="641"/>
      <c r="AO119" s="641"/>
      <c r="AP119" s="641"/>
      <c r="AQ119" s="641"/>
      <c r="AR119" s="641"/>
      <c r="AS119" s="641"/>
      <c r="AT119" s="641"/>
    </row>
    <row r="120" spans="1:47" ht="15" customHeight="1" thickBot="1" x14ac:dyDescent="0.25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288"/>
      <c r="Y120" s="289"/>
      <c r="Z120" s="637"/>
      <c r="AA120" s="638"/>
      <c r="AB120" s="638"/>
      <c r="AC120" s="638"/>
      <c r="AD120" s="638"/>
      <c r="AE120" s="638"/>
      <c r="AF120" s="638"/>
      <c r="AG120" s="638"/>
      <c r="AH120" s="638"/>
      <c r="AI120" s="638"/>
      <c r="AJ120" s="638"/>
      <c r="AK120" s="638"/>
      <c r="AL120" s="638"/>
      <c r="AM120" s="639"/>
      <c r="AN120" s="641"/>
      <c r="AO120" s="641"/>
      <c r="AP120" s="641"/>
      <c r="AQ120" s="641"/>
      <c r="AR120" s="641"/>
      <c r="AS120" s="641"/>
      <c r="AT120" s="641"/>
    </row>
    <row r="121" spans="1:47" ht="15" customHeight="1" x14ac:dyDescent="0.2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288"/>
      <c r="Y121" s="289"/>
      <c r="Z121" s="617" t="s">
        <v>748</v>
      </c>
      <c r="AA121" s="618"/>
      <c r="AB121" s="618"/>
      <c r="AC121" s="619"/>
      <c r="AD121" s="507">
        <f>AD9</f>
        <v>5061</v>
      </c>
      <c r="AE121" s="508"/>
      <c r="AF121" s="508"/>
      <c r="AG121" s="508"/>
      <c r="AH121" s="508"/>
      <c r="AI121" s="508"/>
      <c r="AJ121" s="508"/>
      <c r="AK121" s="480" t="s">
        <v>752</v>
      </c>
      <c r="AL121" s="481"/>
      <c r="AM121" s="481"/>
      <c r="AN121" s="481"/>
      <c r="AO121" s="482"/>
      <c r="AP121" s="507" t="str">
        <f>AP9</f>
        <v>O.DARDIER</v>
      </c>
      <c r="AQ121" s="508"/>
      <c r="AR121" s="508"/>
      <c r="AS121" s="508"/>
      <c r="AT121" s="630"/>
    </row>
    <row r="122" spans="1:47" ht="15" customHeight="1" x14ac:dyDescent="0.2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288"/>
      <c r="Y122" s="289"/>
      <c r="Z122" s="623"/>
      <c r="AA122" s="520"/>
      <c r="AB122" s="520"/>
      <c r="AC122" s="521"/>
      <c r="AD122" s="513"/>
      <c r="AE122" s="514"/>
      <c r="AF122" s="514"/>
      <c r="AG122" s="514"/>
      <c r="AH122" s="514"/>
      <c r="AI122" s="514"/>
      <c r="AJ122" s="514"/>
      <c r="AK122" s="483"/>
      <c r="AL122" s="484"/>
      <c r="AM122" s="484"/>
      <c r="AN122" s="484"/>
      <c r="AO122" s="485"/>
      <c r="AP122" s="513"/>
      <c r="AQ122" s="514"/>
      <c r="AR122" s="514"/>
      <c r="AS122" s="514"/>
      <c r="AT122" s="597"/>
    </row>
    <row r="123" spans="1:47" ht="15" customHeight="1" x14ac:dyDescent="0.2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288"/>
      <c r="Y123" s="289"/>
      <c r="Z123" s="624" t="s">
        <v>749</v>
      </c>
      <c r="AA123" s="517"/>
      <c r="AB123" s="517"/>
      <c r="AC123" s="518"/>
      <c r="AD123" s="563" t="str">
        <f>AD11</f>
        <v>Mme. MANCHEC CATHERINE</v>
      </c>
      <c r="AE123" s="564"/>
      <c r="AF123" s="564"/>
      <c r="AG123" s="564"/>
      <c r="AH123" s="564"/>
      <c r="AI123" s="564"/>
      <c r="AJ123" s="564"/>
      <c r="AK123" s="516" t="s">
        <v>753</v>
      </c>
      <c r="AL123" s="517"/>
      <c r="AM123" s="517"/>
      <c r="AN123" s="517"/>
      <c r="AO123" s="518"/>
      <c r="AP123" s="563" t="str">
        <f>AP11</f>
        <v>T.TOUTAIN</v>
      </c>
      <c r="AQ123" s="564"/>
      <c r="AR123" s="564"/>
      <c r="AS123" s="564"/>
      <c r="AT123" s="565"/>
    </row>
    <row r="124" spans="1:47" ht="15" customHeight="1" x14ac:dyDescent="0.2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288"/>
      <c r="Y124" s="289"/>
      <c r="Z124" s="623"/>
      <c r="AA124" s="520"/>
      <c r="AB124" s="520"/>
      <c r="AC124" s="521"/>
      <c r="AD124" s="513"/>
      <c r="AE124" s="514"/>
      <c r="AF124" s="514"/>
      <c r="AG124" s="514"/>
      <c r="AH124" s="514"/>
      <c r="AI124" s="514"/>
      <c r="AJ124" s="514"/>
      <c r="AK124" s="519"/>
      <c r="AL124" s="520"/>
      <c r="AM124" s="520"/>
      <c r="AN124" s="520"/>
      <c r="AO124" s="521"/>
      <c r="AP124" s="513"/>
      <c r="AQ124" s="514"/>
      <c r="AR124" s="514"/>
      <c r="AS124" s="514"/>
      <c r="AT124" s="597"/>
    </row>
    <row r="125" spans="1:47" ht="15" customHeight="1" x14ac:dyDescent="0.2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288"/>
      <c r="Y125" s="289"/>
      <c r="Z125" s="700" t="s">
        <v>750</v>
      </c>
      <c r="AA125" s="671"/>
      <c r="AB125" s="671"/>
      <c r="AC125" s="668"/>
      <c r="AD125" s="563" t="str">
        <f>AD13</f>
        <v>06 19 34 44 17</v>
      </c>
      <c r="AE125" s="564"/>
      <c r="AF125" s="564"/>
      <c r="AG125" s="564"/>
      <c r="AH125" s="564"/>
      <c r="AI125" s="564"/>
      <c r="AJ125" s="564"/>
      <c r="AK125" s="516" t="s">
        <v>754</v>
      </c>
      <c r="AL125" s="517"/>
      <c r="AM125" s="517"/>
      <c r="AN125" s="517"/>
      <c r="AO125" s="518"/>
      <c r="AP125" s="563" t="str">
        <f>AP13</f>
        <v>S. ALVES</v>
      </c>
      <c r="AQ125" s="564"/>
      <c r="AR125" s="564"/>
      <c r="AS125" s="564"/>
      <c r="AT125" s="565"/>
    </row>
    <row r="126" spans="1:47" ht="15" customHeight="1" x14ac:dyDescent="0.2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288"/>
      <c r="Y126" s="289"/>
      <c r="Z126" s="701"/>
      <c r="AA126" s="672"/>
      <c r="AB126" s="672"/>
      <c r="AC126" s="670"/>
      <c r="AD126" s="513"/>
      <c r="AE126" s="514"/>
      <c r="AF126" s="514"/>
      <c r="AG126" s="514"/>
      <c r="AH126" s="514"/>
      <c r="AI126" s="514"/>
      <c r="AJ126" s="514"/>
      <c r="AK126" s="519"/>
      <c r="AL126" s="520"/>
      <c r="AM126" s="520"/>
      <c r="AN126" s="520"/>
      <c r="AO126" s="521"/>
      <c r="AP126" s="513"/>
      <c r="AQ126" s="514"/>
      <c r="AR126" s="514"/>
      <c r="AS126" s="514"/>
      <c r="AT126" s="597"/>
    </row>
    <row r="127" spans="1:47" ht="15" customHeight="1" x14ac:dyDescent="0.2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288"/>
      <c r="Y127" s="289"/>
      <c r="Z127" s="624" t="s">
        <v>751</v>
      </c>
      <c r="AA127" s="517"/>
      <c r="AB127" s="517"/>
      <c r="AC127" s="518"/>
      <c r="AD127" s="563" t="str">
        <f>AD15</f>
        <v>LANGUZ - 29600 PLOURIN-LES-MORLAIX</v>
      </c>
      <c r="AE127" s="564"/>
      <c r="AF127" s="564"/>
      <c r="AG127" s="564"/>
      <c r="AH127" s="564"/>
      <c r="AI127" s="564"/>
      <c r="AJ127" s="564"/>
      <c r="AK127" s="564"/>
      <c r="AL127" s="564"/>
      <c r="AM127" s="564"/>
      <c r="AN127" s="564"/>
      <c r="AO127" s="564"/>
      <c r="AP127" s="564"/>
      <c r="AQ127" s="564"/>
      <c r="AR127" s="564"/>
      <c r="AS127" s="564"/>
      <c r="AT127" s="565"/>
    </row>
    <row r="128" spans="1:47" ht="15" customHeight="1" thickBot="1" x14ac:dyDescent="0.25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288"/>
      <c r="Y128" s="289"/>
      <c r="Z128" s="625"/>
      <c r="AA128" s="626"/>
      <c r="AB128" s="626"/>
      <c r="AC128" s="627"/>
      <c r="AD128" s="510"/>
      <c r="AE128" s="511"/>
      <c r="AF128" s="511"/>
      <c r="AG128" s="511"/>
      <c r="AH128" s="511"/>
      <c r="AI128" s="511"/>
      <c r="AJ128" s="511"/>
      <c r="AK128" s="511"/>
      <c r="AL128" s="511"/>
      <c r="AM128" s="511"/>
      <c r="AN128" s="511"/>
      <c r="AO128" s="511"/>
      <c r="AP128" s="511"/>
      <c r="AQ128" s="511"/>
      <c r="AR128" s="511"/>
      <c r="AS128" s="511"/>
      <c r="AT128" s="566"/>
    </row>
    <row r="129" spans="1:52" ht="15" customHeight="1" x14ac:dyDescent="0.2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288"/>
      <c r="Y129" s="289"/>
      <c r="Z129" s="331"/>
      <c r="AA129" s="331"/>
      <c r="AB129" s="331"/>
      <c r="AC129" s="331"/>
      <c r="AD129" s="331"/>
      <c r="AE129" s="331"/>
      <c r="AF129" s="331"/>
      <c r="AG129" s="331"/>
      <c r="AH129" s="331"/>
      <c r="AI129" s="331"/>
      <c r="AJ129" s="331"/>
      <c r="AK129" s="331"/>
      <c r="AL129" s="331"/>
      <c r="AM129" s="331"/>
      <c r="AN129" s="331"/>
      <c r="AO129" s="331"/>
      <c r="AP129" s="331"/>
      <c r="AQ129" s="331"/>
      <c r="AR129" s="331"/>
      <c r="AS129" s="331"/>
      <c r="AT129" s="331"/>
    </row>
    <row r="130" spans="1:52" ht="15" customHeight="1" x14ac:dyDescent="0.2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288"/>
      <c r="Y130" s="289"/>
      <c r="Z130" s="295"/>
      <c r="AA130" s="295"/>
      <c r="AB130" s="295"/>
      <c r="AC130" s="295"/>
      <c r="AD130" s="295"/>
      <c r="AE130" s="295"/>
      <c r="AF130" s="295"/>
      <c r="AG130" s="295"/>
      <c r="AH130" s="295"/>
      <c r="AI130" s="295"/>
      <c r="AJ130" s="295"/>
      <c r="AK130" s="295"/>
      <c r="AL130" s="295"/>
      <c r="AM130" s="295"/>
      <c r="AN130" s="295"/>
      <c r="AO130" s="295"/>
      <c r="AP130" s="295"/>
      <c r="AQ130" s="295"/>
      <c r="AR130" s="295"/>
      <c r="AS130" s="295"/>
      <c r="AT130" s="295"/>
      <c r="AZ130" s="255"/>
    </row>
    <row r="131" spans="1:52" ht="15" customHeight="1" thickBot="1" x14ac:dyDescent="0.25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288"/>
      <c r="Y131" s="289"/>
      <c r="Z131" s="332"/>
      <c r="AA131" s="332"/>
      <c r="AB131" s="332"/>
      <c r="AC131" s="332"/>
      <c r="AD131" s="332"/>
      <c r="AE131" s="332"/>
      <c r="AF131" s="332"/>
      <c r="AG131" s="332"/>
      <c r="AH131" s="332"/>
      <c r="AI131" s="332"/>
      <c r="AJ131" s="332"/>
      <c r="AK131" s="332"/>
      <c r="AL131" s="332"/>
      <c r="AM131" s="332"/>
      <c r="AN131" s="332"/>
      <c r="AO131" s="332"/>
      <c r="AP131" s="332"/>
      <c r="AQ131" s="332"/>
      <c r="AR131" s="332"/>
      <c r="AS131" s="332"/>
      <c r="AT131" s="332"/>
    </row>
    <row r="132" spans="1:52" ht="15" customHeight="1" x14ac:dyDescent="0.2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288"/>
      <c r="Y132" s="289"/>
      <c r="Z132" s="702" t="s">
        <v>703</v>
      </c>
      <c r="AA132" s="508"/>
      <c r="AB132" s="508"/>
      <c r="AC132" s="509"/>
      <c r="AD132" s="567" t="str">
        <f>IF(AD18="","",AD18)</f>
        <v/>
      </c>
      <c r="AE132" s="568"/>
      <c r="AF132" s="569"/>
      <c r="AG132" s="507" t="s">
        <v>704</v>
      </c>
      <c r="AH132" s="508"/>
      <c r="AI132" s="508"/>
      <c r="AJ132" s="509"/>
      <c r="AK132" s="567" t="str">
        <f>IF(AK18="","",AK18)</f>
        <v>X</v>
      </c>
      <c r="AL132" s="568"/>
      <c r="AM132" s="569"/>
      <c r="AN132" s="507" t="s">
        <v>747</v>
      </c>
      <c r="AO132" s="508"/>
      <c r="AP132" s="508"/>
      <c r="AQ132" s="509"/>
      <c r="AR132" s="567" t="str">
        <f>IF(AR18="","",AR18)</f>
        <v/>
      </c>
      <c r="AS132" s="568"/>
      <c r="AT132" s="697"/>
    </row>
    <row r="133" spans="1:52" ht="15" customHeight="1" x14ac:dyDescent="0.2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288"/>
      <c r="Y133" s="289"/>
      <c r="Z133" s="703"/>
      <c r="AA133" s="511"/>
      <c r="AB133" s="511"/>
      <c r="AC133" s="512"/>
      <c r="AD133" s="570"/>
      <c r="AE133" s="571"/>
      <c r="AF133" s="572"/>
      <c r="AG133" s="510"/>
      <c r="AH133" s="511"/>
      <c r="AI133" s="511"/>
      <c r="AJ133" s="512"/>
      <c r="AK133" s="570"/>
      <c r="AL133" s="571"/>
      <c r="AM133" s="572"/>
      <c r="AN133" s="510"/>
      <c r="AO133" s="511"/>
      <c r="AP133" s="511"/>
      <c r="AQ133" s="512"/>
      <c r="AR133" s="570"/>
      <c r="AS133" s="571"/>
      <c r="AT133" s="698"/>
    </row>
    <row r="134" spans="1:52" ht="15" customHeight="1" x14ac:dyDescent="0.2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288"/>
      <c r="Y134" s="289"/>
      <c r="Z134" s="704"/>
      <c r="AA134" s="514"/>
      <c r="AB134" s="514"/>
      <c r="AC134" s="515"/>
      <c r="AD134" s="573"/>
      <c r="AE134" s="574"/>
      <c r="AF134" s="575"/>
      <c r="AG134" s="513"/>
      <c r="AH134" s="514"/>
      <c r="AI134" s="514"/>
      <c r="AJ134" s="515"/>
      <c r="AK134" s="573"/>
      <c r="AL134" s="574"/>
      <c r="AM134" s="575"/>
      <c r="AN134" s="513"/>
      <c r="AO134" s="514"/>
      <c r="AP134" s="514"/>
      <c r="AQ134" s="515"/>
      <c r="AR134" s="573"/>
      <c r="AS134" s="574"/>
      <c r="AT134" s="699"/>
    </row>
    <row r="135" spans="1:52" ht="15" customHeight="1" x14ac:dyDescent="0.2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288"/>
      <c r="Y135" s="289"/>
      <c r="Z135" s="705" t="s">
        <v>705</v>
      </c>
      <c r="AA135" s="564"/>
      <c r="AB135" s="564"/>
      <c r="AC135" s="564"/>
      <c r="AD135" s="564"/>
      <c r="AE135" s="564"/>
      <c r="AF135" s="660"/>
      <c r="AG135" s="488" t="str">
        <f>AG20</f>
        <v>non</v>
      </c>
      <c r="AH135" s="488"/>
      <c r="AI135" s="488"/>
      <c r="AJ135" s="488"/>
      <c r="AK135" s="488"/>
      <c r="AL135" s="488"/>
      <c r="AM135" s="488"/>
      <c r="AN135" s="488"/>
      <c r="AO135" s="488"/>
      <c r="AP135" s="488"/>
      <c r="AQ135" s="488"/>
      <c r="AR135" s="488"/>
      <c r="AS135" s="488"/>
      <c r="AT135" s="489"/>
    </row>
    <row r="136" spans="1:52" ht="15" customHeight="1" thickBot="1" x14ac:dyDescent="0.25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288"/>
      <c r="Y136" s="289"/>
      <c r="Z136" s="706"/>
      <c r="AA136" s="707"/>
      <c r="AB136" s="707"/>
      <c r="AC136" s="707"/>
      <c r="AD136" s="707"/>
      <c r="AE136" s="707"/>
      <c r="AF136" s="708"/>
      <c r="AG136" s="490"/>
      <c r="AH136" s="490"/>
      <c r="AI136" s="490"/>
      <c r="AJ136" s="490"/>
      <c r="AK136" s="490"/>
      <c r="AL136" s="490"/>
      <c r="AM136" s="490"/>
      <c r="AN136" s="490"/>
      <c r="AO136" s="490"/>
      <c r="AP136" s="490"/>
      <c r="AQ136" s="490"/>
      <c r="AR136" s="490"/>
      <c r="AS136" s="490"/>
      <c r="AT136" s="491"/>
    </row>
    <row r="137" spans="1:52" ht="15" customHeight="1" x14ac:dyDescent="0.2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288"/>
      <c r="Y137" s="289"/>
      <c r="Z137" s="325"/>
      <c r="AA137" s="325"/>
      <c r="AB137" s="325"/>
      <c r="AC137" s="325"/>
      <c r="AD137" s="325"/>
      <c r="AE137" s="325"/>
      <c r="AF137" s="325"/>
      <c r="AG137" s="325"/>
      <c r="AH137" s="325"/>
      <c r="AI137" s="325"/>
      <c r="AJ137" s="325"/>
      <c r="AK137" s="325"/>
      <c r="AL137" s="325"/>
      <c r="AM137" s="325"/>
      <c r="AN137" s="325"/>
      <c r="AO137" s="325"/>
      <c r="AP137" s="325"/>
      <c r="AQ137" s="325"/>
      <c r="AR137" s="325"/>
      <c r="AS137" s="325"/>
      <c r="AT137" s="325"/>
    </row>
    <row r="138" spans="1:52" ht="15" customHeight="1" x14ac:dyDescent="0.2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288"/>
      <c r="Y138" s="289"/>
      <c r="Z138" s="326"/>
      <c r="AA138" s="326"/>
      <c r="AB138" s="326"/>
      <c r="AC138" s="326"/>
      <c r="AD138" s="326"/>
      <c r="AE138" s="326"/>
      <c r="AF138" s="326"/>
      <c r="AG138" s="326"/>
      <c r="AH138" s="326"/>
      <c r="AI138" s="326"/>
      <c r="AJ138" s="326"/>
      <c r="AK138" s="326"/>
      <c r="AL138" s="326"/>
      <c r="AM138" s="326"/>
      <c r="AN138" s="326"/>
      <c r="AO138" s="326"/>
      <c r="AP138" s="326"/>
      <c r="AQ138" s="326"/>
      <c r="AR138" s="326"/>
      <c r="AS138" s="326"/>
      <c r="AT138" s="326"/>
    </row>
    <row r="139" spans="1:52" ht="15" customHeight="1" thickBot="1" x14ac:dyDescent="0.25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288"/>
      <c r="Y139" s="289"/>
      <c r="Z139" s="327"/>
      <c r="AA139" s="327"/>
      <c r="AB139" s="327"/>
      <c r="AC139" s="327"/>
      <c r="AD139" s="327"/>
      <c r="AE139" s="327"/>
      <c r="AF139" s="327"/>
      <c r="AG139" s="327"/>
      <c r="AH139" s="327"/>
      <c r="AI139" s="327"/>
      <c r="AJ139" s="327"/>
      <c r="AK139" s="327"/>
      <c r="AL139" s="327"/>
      <c r="AM139" s="327"/>
      <c r="AN139" s="327"/>
      <c r="AO139" s="327"/>
      <c r="AP139" s="327"/>
      <c r="AQ139" s="327"/>
      <c r="AR139" s="327"/>
      <c r="AS139" s="327"/>
      <c r="AT139" s="327"/>
    </row>
    <row r="140" spans="1:52" ht="15" customHeight="1" thickBot="1" x14ac:dyDescent="0.25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288"/>
      <c r="Y140" s="289"/>
      <c r="Z140" s="608" t="s">
        <v>755</v>
      </c>
      <c r="AA140" s="609"/>
      <c r="AB140" s="609"/>
      <c r="AC140" s="609"/>
      <c r="AD140" s="609"/>
      <c r="AE140" s="609"/>
      <c r="AF140" s="609"/>
      <c r="AG140" s="609"/>
      <c r="AH140" s="609"/>
      <c r="AI140" s="610"/>
      <c r="AJ140" s="505" t="s">
        <v>706</v>
      </c>
      <c r="AK140" s="506"/>
      <c r="AL140" s="506"/>
      <c r="AM140" s="506"/>
      <c r="AN140" s="506"/>
      <c r="AO140" s="506"/>
      <c r="AP140" s="506" t="s">
        <v>57</v>
      </c>
      <c r="AQ140" s="506"/>
      <c r="AR140" s="506"/>
      <c r="AS140" s="506"/>
      <c r="AT140" s="506"/>
    </row>
    <row r="141" spans="1:52" ht="15" customHeight="1" thickBot="1" x14ac:dyDescent="0.25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288"/>
      <c r="Y141" s="289"/>
      <c r="Z141" s="611"/>
      <c r="AA141" s="612"/>
      <c r="AB141" s="612"/>
      <c r="AC141" s="612"/>
      <c r="AD141" s="612"/>
      <c r="AE141" s="612"/>
      <c r="AF141" s="612"/>
      <c r="AG141" s="612"/>
      <c r="AH141" s="612"/>
      <c r="AI141" s="613"/>
      <c r="AJ141" s="505"/>
      <c r="AK141" s="506"/>
      <c r="AL141" s="506"/>
      <c r="AM141" s="506"/>
      <c r="AN141" s="506"/>
      <c r="AO141" s="506"/>
      <c r="AP141" s="506"/>
      <c r="AQ141" s="506"/>
      <c r="AR141" s="506"/>
      <c r="AS141" s="506"/>
      <c r="AT141" s="506"/>
    </row>
    <row r="142" spans="1:52" ht="15" customHeight="1" thickBot="1" x14ac:dyDescent="0.25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288"/>
      <c r="Y142" s="289"/>
      <c r="Z142" s="549" t="s">
        <v>762</v>
      </c>
      <c r="AA142" s="550"/>
      <c r="AB142" s="550"/>
      <c r="AC142" s="550"/>
      <c r="AD142" s="550"/>
      <c r="AE142" s="550"/>
      <c r="AF142" s="550"/>
      <c r="AG142" s="550"/>
      <c r="AH142" s="550"/>
      <c r="AI142" s="551"/>
      <c r="AJ142" s="549" t="s">
        <v>612</v>
      </c>
      <c r="AK142" s="550"/>
      <c r="AL142" s="550"/>
      <c r="AM142" s="550"/>
      <c r="AN142" s="550"/>
      <c r="AO142" s="551"/>
      <c r="AP142" s="538" t="s">
        <v>612</v>
      </c>
      <c r="AQ142" s="538"/>
      <c r="AR142" s="538"/>
      <c r="AS142" s="538"/>
      <c r="AT142" s="548"/>
    </row>
    <row r="143" spans="1:52" ht="15" customHeight="1" thickBot="1" x14ac:dyDescent="0.25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288"/>
      <c r="Y143" s="289"/>
      <c r="Z143" s="549" t="s">
        <v>743</v>
      </c>
      <c r="AA143" s="550"/>
      <c r="AB143" s="550"/>
      <c r="AC143" s="550"/>
      <c r="AD143" s="550"/>
      <c r="AE143" s="550"/>
      <c r="AF143" s="550"/>
      <c r="AG143" s="550"/>
      <c r="AH143" s="550"/>
      <c r="AI143" s="551"/>
      <c r="AJ143" s="552" t="s">
        <v>612</v>
      </c>
      <c r="AK143" s="538"/>
      <c r="AL143" s="538"/>
      <c r="AM143" s="538"/>
      <c r="AN143" s="538"/>
      <c r="AO143" s="548"/>
      <c r="AP143" s="538" t="s">
        <v>612</v>
      </c>
      <c r="AQ143" s="538"/>
      <c r="AR143" s="538"/>
      <c r="AS143" s="538"/>
      <c r="AT143" s="548"/>
    </row>
    <row r="144" spans="1:52" ht="15" customHeight="1" thickBot="1" x14ac:dyDescent="0.25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288"/>
      <c r="Y144" s="289"/>
      <c r="Z144" s="549" t="s">
        <v>744</v>
      </c>
      <c r="AA144" s="550"/>
      <c r="AB144" s="550"/>
      <c r="AC144" s="550"/>
      <c r="AD144" s="550"/>
      <c r="AE144" s="550"/>
      <c r="AF144" s="550"/>
      <c r="AG144" s="550"/>
      <c r="AH144" s="550"/>
      <c r="AI144" s="551"/>
      <c r="AJ144" s="552" t="s">
        <v>612</v>
      </c>
      <c r="AK144" s="538"/>
      <c r="AL144" s="538"/>
      <c r="AM144" s="538"/>
      <c r="AN144" s="538"/>
      <c r="AO144" s="548"/>
      <c r="AP144" s="538" t="s">
        <v>612</v>
      </c>
      <c r="AQ144" s="538"/>
      <c r="AR144" s="538"/>
      <c r="AS144" s="538"/>
      <c r="AT144" s="548"/>
    </row>
    <row r="145" spans="1:52" ht="15" customHeight="1" thickBot="1" x14ac:dyDescent="0.25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288"/>
      <c r="Y145" s="289"/>
      <c r="Z145" s="549" t="s">
        <v>745</v>
      </c>
      <c r="AA145" s="550"/>
      <c r="AB145" s="550"/>
      <c r="AC145" s="550"/>
      <c r="AD145" s="550"/>
      <c r="AE145" s="550"/>
      <c r="AF145" s="550"/>
      <c r="AG145" s="550"/>
      <c r="AH145" s="550"/>
      <c r="AI145" s="551"/>
      <c r="AJ145" s="552" t="s">
        <v>612</v>
      </c>
      <c r="AK145" s="538"/>
      <c r="AL145" s="538"/>
      <c r="AM145" s="538"/>
      <c r="AN145" s="538"/>
      <c r="AO145" s="548"/>
      <c r="AP145" s="538" t="s">
        <v>612</v>
      </c>
      <c r="AQ145" s="538"/>
      <c r="AR145" s="538"/>
      <c r="AS145" s="538"/>
      <c r="AT145" s="548"/>
    </row>
    <row r="146" spans="1:52" ht="15" customHeight="1" thickBot="1" x14ac:dyDescent="0.25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290"/>
      <c r="Y146" s="289"/>
      <c r="Z146" s="549" t="s">
        <v>763</v>
      </c>
      <c r="AA146" s="550"/>
      <c r="AB146" s="550"/>
      <c r="AC146" s="550"/>
      <c r="AD146" s="550"/>
      <c r="AE146" s="550"/>
      <c r="AF146" s="550"/>
      <c r="AG146" s="550"/>
      <c r="AH146" s="550"/>
      <c r="AI146" s="551"/>
      <c r="AJ146" s="552" t="s">
        <v>612</v>
      </c>
      <c r="AK146" s="538"/>
      <c r="AL146" s="538"/>
      <c r="AM146" s="538"/>
      <c r="AN146" s="538"/>
      <c r="AO146" s="548"/>
      <c r="AP146" s="538" t="s">
        <v>612</v>
      </c>
      <c r="AQ146" s="538"/>
      <c r="AR146" s="538"/>
      <c r="AS146" s="538"/>
      <c r="AT146" s="548"/>
    </row>
    <row r="147" spans="1:52" ht="15" customHeight="1" thickBot="1" x14ac:dyDescent="0.25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290"/>
      <c r="Y147" s="289"/>
      <c r="Z147" s="549" t="s">
        <v>856</v>
      </c>
      <c r="AA147" s="550"/>
      <c r="AB147" s="550"/>
      <c r="AC147" s="550"/>
      <c r="AD147" s="550"/>
      <c r="AE147" s="550"/>
      <c r="AF147" s="550"/>
      <c r="AG147" s="550"/>
      <c r="AH147" s="550"/>
      <c r="AI147" s="551"/>
      <c r="AJ147" s="552" t="s">
        <v>612</v>
      </c>
      <c r="AK147" s="538"/>
      <c r="AL147" s="538"/>
      <c r="AM147" s="538"/>
      <c r="AN147" s="538"/>
      <c r="AO147" s="548"/>
      <c r="AP147" s="538" t="s">
        <v>612</v>
      </c>
      <c r="AQ147" s="538"/>
      <c r="AR147" s="538"/>
      <c r="AS147" s="538"/>
      <c r="AT147" s="548"/>
    </row>
    <row r="148" spans="1:52" ht="15" customHeight="1" thickBot="1" x14ac:dyDescent="0.25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290"/>
      <c r="Y148" s="289"/>
      <c r="Z148" s="614" t="s">
        <v>742</v>
      </c>
      <c r="AA148" s="615"/>
      <c r="AB148" s="615"/>
      <c r="AC148" s="615"/>
      <c r="AD148" s="615"/>
      <c r="AE148" s="615"/>
      <c r="AF148" s="615"/>
      <c r="AG148" s="615"/>
      <c r="AH148" s="615"/>
      <c r="AI148" s="616"/>
      <c r="AJ148" s="585" t="s">
        <v>612</v>
      </c>
      <c r="AK148" s="586"/>
      <c r="AL148" s="586"/>
      <c r="AM148" s="586"/>
      <c r="AN148" s="586"/>
      <c r="AO148" s="587"/>
      <c r="AP148" s="586" t="s">
        <v>612</v>
      </c>
      <c r="AQ148" s="586"/>
      <c r="AR148" s="586"/>
      <c r="AS148" s="586"/>
      <c r="AT148" s="587"/>
    </row>
    <row r="149" spans="1:52" ht="15" customHeight="1" x14ac:dyDescent="0.2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290"/>
      <c r="Y149" s="289"/>
      <c r="Z149" s="295"/>
      <c r="AA149" s="295"/>
      <c r="AB149" s="295"/>
      <c r="AC149" s="295"/>
      <c r="AD149" s="295"/>
      <c r="AE149" s="295"/>
      <c r="AF149" s="295"/>
      <c r="AG149" s="295"/>
      <c r="AH149" s="295"/>
      <c r="AI149" s="295"/>
      <c r="AJ149" s="295"/>
      <c r="AK149" s="295"/>
      <c r="AL149" s="295"/>
      <c r="AM149" s="295"/>
      <c r="AN149" s="295"/>
      <c r="AO149" s="295"/>
      <c r="AP149" s="295"/>
      <c r="AQ149" s="295"/>
      <c r="AR149" s="295"/>
      <c r="AS149" s="295"/>
      <c r="AT149" s="295"/>
    </row>
    <row r="150" spans="1:52" ht="15" customHeight="1" x14ac:dyDescent="0.2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290"/>
      <c r="Y150" s="289"/>
      <c r="Z150" s="278"/>
      <c r="AA150" s="278"/>
      <c r="AB150" s="278"/>
      <c r="AC150" s="278"/>
      <c r="AD150" s="278"/>
      <c r="AE150" s="278"/>
      <c r="AF150" s="278"/>
      <c r="AG150" s="278"/>
      <c r="AH150" s="278"/>
      <c r="AI150" s="278"/>
      <c r="AJ150" s="278"/>
      <c r="AK150" s="278"/>
      <c r="AL150" s="278"/>
      <c r="AM150" s="278"/>
      <c r="AN150" s="278"/>
      <c r="AO150" s="278"/>
      <c r="AP150" s="278"/>
      <c r="AQ150" s="278"/>
      <c r="AR150" s="278"/>
      <c r="AS150" s="278"/>
      <c r="AT150" s="278"/>
    </row>
    <row r="151" spans="1:52" ht="15" customHeight="1" thickBot="1" x14ac:dyDescent="0.25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290"/>
      <c r="Y151" s="289"/>
      <c r="Z151" s="301"/>
      <c r="AA151" s="301"/>
      <c r="AB151" s="301"/>
      <c r="AC151" s="301"/>
      <c r="AD151" s="301"/>
      <c r="AE151" s="301"/>
      <c r="AF151" s="301"/>
      <c r="AG151" s="301"/>
      <c r="AH151" s="301"/>
      <c r="AI151" s="301"/>
      <c r="AJ151" s="301"/>
      <c r="AK151" s="301"/>
      <c r="AL151" s="301"/>
      <c r="AM151" s="301"/>
      <c r="AN151" s="301"/>
      <c r="AO151" s="301"/>
      <c r="AP151" s="301"/>
      <c r="AQ151" s="301"/>
      <c r="AR151" s="301"/>
      <c r="AS151" s="301"/>
      <c r="AT151" s="301"/>
      <c r="AY151" s="255"/>
      <c r="AZ151" s="255"/>
    </row>
    <row r="152" spans="1:52" ht="15" customHeight="1" x14ac:dyDescent="0.2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290"/>
      <c r="Y152" s="289"/>
      <c r="Z152" s="608" t="s">
        <v>756</v>
      </c>
      <c r="AA152" s="609"/>
      <c r="AB152" s="609"/>
      <c r="AC152" s="609"/>
      <c r="AD152" s="609"/>
      <c r="AE152" s="609"/>
      <c r="AF152" s="609"/>
      <c r="AG152" s="609"/>
      <c r="AH152" s="609"/>
      <c r="AI152" s="609"/>
      <c r="AJ152" s="609"/>
      <c r="AK152" s="609"/>
      <c r="AL152" s="609"/>
      <c r="AM152" s="609"/>
      <c r="AN152" s="609"/>
      <c r="AO152" s="609"/>
      <c r="AP152" s="609"/>
      <c r="AQ152" s="609"/>
      <c r="AR152" s="609"/>
      <c r="AS152" s="609"/>
      <c r="AT152" s="610"/>
    </row>
    <row r="153" spans="1:52" ht="15" customHeight="1" thickBot="1" x14ac:dyDescent="0.25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290"/>
      <c r="Y153" s="289"/>
      <c r="Z153" s="611"/>
      <c r="AA153" s="612"/>
      <c r="AB153" s="612"/>
      <c r="AC153" s="612"/>
      <c r="AD153" s="612"/>
      <c r="AE153" s="612"/>
      <c r="AF153" s="612"/>
      <c r="AG153" s="612"/>
      <c r="AH153" s="612"/>
      <c r="AI153" s="612"/>
      <c r="AJ153" s="612"/>
      <c r="AK153" s="612"/>
      <c r="AL153" s="612"/>
      <c r="AM153" s="612"/>
      <c r="AN153" s="612"/>
      <c r="AO153" s="612"/>
      <c r="AP153" s="612"/>
      <c r="AQ153" s="612"/>
      <c r="AR153" s="612"/>
      <c r="AS153" s="612"/>
      <c r="AT153" s="613"/>
    </row>
    <row r="154" spans="1:52" ht="15" customHeight="1" x14ac:dyDescent="0.2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290"/>
      <c r="Y154" s="289"/>
      <c r="Z154" s="617" t="s">
        <v>757</v>
      </c>
      <c r="AA154" s="618"/>
      <c r="AB154" s="618"/>
      <c r="AC154" s="618"/>
      <c r="AD154" s="619"/>
      <c r="AE154" s="588">
        <f>AE29</f>
        <v>258.02</v>
      </c>
      <c r="AF154" s="589"/>
      <c r="AG154" s="589"/>
      <c r="AH154" s="589"/>
      <c r="AI154" s="590"/>
      <c r="AJ154" s="691" t="s">
        <v>758</v>
      </c>
      <c r="AK154" s="692"/>
      <c r="AL154" s="693"/>
      <c r="AM154" s="507" t="str">
        <f>AM29</f>
        <v>532 x LONGI 485M</v>
      </c>
      <c r="AN154" s="508"/>
      <c r="AO154" s="508"/>
      <c r="AP154" s="508"/>
      <c r="AQ154" s="508"/>
      <c r="AR154" s="508"/>
      <c r="AS154" s="508"/>
      <c r="AT154" s="630"/>
    </row>
    <row r="155" spans="1:52" ht="15" customHeight="1" x14ac:dyDescent="0.2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290"/>
      <c r="Y155" s="289"/>
      <c r="Z155" s="620"/>
      <c r="AA155" s="621"/>
      <c r="AB155" s="621"/>
      <c r="AC155" s="621"/>
      <c r="AD155" s="622"/>
      <c r="AE155" s="591"/>
      <c r="AF155" s="592"/>
      <c r="AG155" s="592"/>
      <c r="AH155" s="592"/>
      <c r="AI155" s="593"/>
      <c r="AJ155" s="579"/>
      <c r="AK155" s="580"/>
      <c r="AL155" s="581"/>
      <c r="AM155" s="510"/>
      <c r="AN155" s="511"/>
      <c r="AO155" s="511"/>
      <c r="AP155" s="511"/>
      <c r="AQ155" s="511"/>
      <c r="AR155" s="511"/>
      <c r="AS155" s="511"/>
      <c r="AT155" s="566"/>
      <c r="AX155" s="255"/>
    </row>
    <row r="156" spans="1:52" ht="15" customHeight="1" x14ac:dyDescent="0.2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291"/>
      <c r="Y156" s="291"/>
      <c r="Z156" s="623"/>
      <c r="AA156" s="520"/>
      <c r="AB156" s="520"/>
      <c r="AC156" s="520"/>
      <c r="AD156" s="521"/>
      <c r="AE156" s="594"/>
      <c r="AF156" s="595"/>
      <c r="AG156" s="595"/>
      <c r="AH156" s="595"/>
      <c r="AI156" s="596"/>
      <c r="AJ156" s="694"/>
      <c r="AK156" s="695"/>
      <c r="AL156" s="696"/>
      <c r="AM156" s="513"/>
      <c r="AN156" s="514"/>
      <c r="AO156" s="514"/>
      <c r="AP156" s="514"/>
      <c r="AQ156" s="514"/>
      <c r="AR156" s="514"/>
      <c r="AS156" s="514"/>
      <c r="AT156" s="597"/>
    </row>
    <row r="157" spans="1:52" ht="15" customHeight="1" x14ac:dyDescent="0.2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291"/>
      <c r="Y157" s="291"/>
      <c r="Z157" s="624" t="s">
        <v>760</v>
      </c>
      <c r="AA157" s="517"/>
      <c r="AB157" s="517"/>
      <c r="AC157" s="517"/>
      <c r="AD157" s="518"/>
      <c r="AE157" s="553" t="str">
        <f>AE32</f>
        <v>ITAL x FIBRO SOLAR</v>
      </c>
      <c r="AF157" s="554"/>
      <c r="AG157" s="554"/>
      <c r="AH157" s="554"/>
      <c r="AI157" s="555"/>
      <c r="AJ157" s="576" t="s">
        <v>759</v>
      </c>
      <c r="AK157" s="577"/>
      <c r="AL157" s="578"/>
      <c r="AM157" s="458" t="str">
        <f>AM32</f>
        <v>2 x SUN2000-115kTL-M2</v>
      </c>
      <c r="AN157" s="459"/>
      <c r="AO157" s="459"/>
      <c r="AP157" s="459"/>
      <c r="AQ157" s="459"/>
      <c r="AR157" s="459"/>
      <c r="AS157" s="459"/>
      <c r="AT157" s="460"/>
    </row>
    <row r="158" spans="1:52" ht="15" customHeight="1" x14ac:dyDescent="0.2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288"/>
      <c r="Y158" s="291"/>
      <c r="Z158" s="620"/>
      <c r="AA158" s="621"/>
      <c r="AB158" s="621"/>
      <c r="AC158" s="621"/>
      <c r="AD158" s="622"/>
      <c r="AE158" s="556"/>
      <c r="AF158" s="557"/>
      <c r="AG158" s="557"/>
      <c r="AH158" s="557"/>
      <c r="AI158" s="558"/>
      <c r="AJ158" s="579"/>
      <c r="AK158" s="580"/>
      <c r="AL158" s="581"/>
      <c r="AM158" s="461"/>
      <c r="AN158" s="462"/>
      <c r="AO158" s="462"/>
      <c r="AP158" s="462"/>
      <c r="AQ158" s="462"/>
      <c r="AR158" s="462"/>
      <c r="AS158" s="462"/>
      <c r="AT158" s="463"/>
    </row>
    <row r="159" spans="1:52" ht="15" customHeight="1" thickBot="1" x14ac:dyDescent="0.25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288"/>
      <c r="Y159" s="288"/>
      <c r="Z159" s="625"/>
      <c r="AA159" s="626"/>
      <c r="AB159" s="626"/>
      <c r="AC159" s="626"/>
      <c r="AD159" s="627"/>
      <c r="AE159" s="559"/>
      <c r="AF159" s="560"/>
      <c r="AG159" s="560"/>
      <c r="AH159" s="560"/>
      <c r="AI159" s="561"/>
      <c r="AJ159" s="582"/>
      <c r="AK159" s="583"/>
      <c r="AL159" s="584"/>
      <c r="AM159" s="464"/>
      <c r="AN159" s="465"/>
      <c r="AO159" s="465"/>
      <c r="AP159" s="465"/>
      <c r="AQ159" s="465"/>
      <c r="AR159" s="465"/>
      <c r="AS159" s="465"/>
      <c r="AT159" s="466"/>
    </row>
    <row r="160" spans="1:52" ht="15" customHeight="1" thickBot="1" x14ac:dyDescent="0.25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288"/>
      <c r="Y160" s="288"/>
    </row>
    <row r="161" spans="1:75" ht="15" customHeight="1" x14ac:dyDescent="0.2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290"/>
      <c r="Y161" s="288"/>
      <c r="Z161" s="372" t="s">
        <v>700</v>
      </c>
      <c r="AA161" s="373"/>
      <c r="AB161" s="373"/>
      <c r="AC161" s="373"/>
      <c r="AD161" s="373"/>
      <c r="AE161" s="373"/>
      <c r="AF161" s="373"/>
      <c r="AG161" s="373"/>
      <c r="AH161" s="373"/>
      <c r="AI161" s="373"/>
      <c r="AJ161" s="373"/>
      <c r="AK161" s="373"/>
      <c r="AL161" s="373"/>
      <c r="AM161" s="373"/>
      <c r="AN161" s="373"/>
      <c r="AO161" s="373"/>
      <c r="AP161" s="373"/>
      <c r="AQ161" s="373"/>
      <c r="AR161" s="373"/>
      <c r="AS161" s="373"/>
      <c r="AT161" s="374"/>
    </row>
    <row r="162" spans="1:75" ht="15" customHeight="1" x14ac:dyDescent="0.2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288"/>
      <c r="Y162" s="288"/>
      <c r="Z162" s="308"/>
      <c r="AA162" s="304"/>
      <c r="AB162" s="304"/>
      <c r="AC162" s="304"/>
      <c r="AD162" s="304"/>
      <c r="AE162" s="304"/>
      <c r="AF162" s="304"/>
      <c r="AG162" s="304"/>
      <c r="AH162" s="304"/>
      <c r="AI162" s="304"/>
      <c r="AJ162" s="304"/>
      <c r="AK162" s="304"/>
      <c r="AL162" s="304"/>
      <c r="AM162" s="304"/>
      <c r="AN162" s="304"/>
      <c r="AO162" s="304"/>
      <c r="AP162" s="304"/>
      <c r="AQ162" s="304"/>
      <c r="AR162" s="304"/>
      <c r="AS162" s="304"/>
      <c r="AT162" s="309"/>
    </row>
    <row r="163" spans="1:75" ht="15" customHeight="1" x14ac:dyDescent="0.2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288"/>
      <c r="Y163" s="288"/>
      <c r="Z163" s="308"/>
      <c r="AA163" s="304"/>
      <c r="AB163" s="304"/>
      <c r="AC163" s="304"/>
      <c r="AD163" s="304"/>
      <c r="AE163" s="304"/>
      <c r="AF163" s="304"/>
      <c r="AG163" s="304"/>
      <c r="AH163" s="304"/>
      <c r="AI163" s="304"/>
      <c r="AJ163" s="304"/>
      <c r="AK163" s="304"/>
      <c r="AL163" s="304"/>
      <c r="AM163" s="304"/>
      <c r="AN163" s="304"/>
      <c r="AO163" s="304"/>
      <c r="AP163" s="304"/>
      <c r="AQ163" s="304"/>
      <c r="AR163" s="304"/>
      <c r="AS163" s="304"/>
      <c r="AT163" s="309"/>
    </row>
    <row r="164" spans="1:75" s="255" customFormat="1" ht="15" customHeight="1" x14ac:dyDescent="0.2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288"/>
      <c r="Y164" s="288"/>
      <c r="Z164" s="308"/>
      <c r="AA164" s="304"/>
      <c r="AB164" s="304"/>
      <c r="AC164" s="304"/>
      <c r="AD164" s="304"/>
      <c r="AE164" s="304"/>
      <c r="AF164" s="304"/>
      <c r="AG164" s="304"/>
      <c r="AH164" s="304"/>
      <c r="AI164" s="304"/>
      <c r="AJ164" s="304"/>
      <c r="AK164" s="304"/>
      <c r="AL164" s="304"/>
      <c r="AM164" s="304"/>
      <c r="AN164" s="304"/>
      <c r="AO164" s="304"/>
      <c r="AP164" s="304"/>
      <c r="AQ164" s="304"/>
      <c r="AR164" s="304"/>
      <c r="AS164" s="304"/>
      <c r="AT164" s="309"/>
      <c r="AU164" s="254"/>
      <c r="AX164" s="254"/>
      <c r="AY164" s="254"/>
      <c r="AZ164" s="254"/>
      <c r="BA164" s="254"/>
      <c r="BB164" s="254"/>
      <c r="BC164" s="254"/>
      <c r="BD164" s="254"/>
      <c r="BE164" s="254"/>
      <c r="BF164" s="254"/>
      <c r="BG164" s="254"/>
      <c r="BH164" s="254"/>
      <c r="BI164" s="254"/>
      <c r="BJ164" s="254"/>
      <c r="BK164" s="254"/>
      <c r="BL164" s="254"/>
      <c r="BM164" s="254"/>
      <c r="BN164" s="254"/>
      <c r="BO164" s="254"/>
      <c r="BP164" s="254"/>
      <c r="BQ164" s="254"/>
      <c r="BR164" s="254"/>
      <c r="BS164" s="254"/>
      <c r="BT164" s="254"/>
      <c r="BU164" s="254"/>
      <c r="BV164" s="254"/>
      <c r="BW164" s="254"/>
    </row>
    <row r="165" spans="1:75" ht="15" customHeight="1" x14ac:dyDescent="0.2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288"/>
      <c r="Y165" s="288"/>
      <c r="Z165" s="308"/>
      <c r="AA165" s="304"/>
      <c r="AB165" s="304"/>
      <c r="AC165" s="304"/>
      <c r="AD165" s="304"/>
      <c r="AE165" s="304"/>
      <c r="AF165" s="304"/>
      <c r="AG165" s="304"/>
      <c r="AH165" s="304"/>
      <c r="AI165" s="304"/>
      <c r="AJ165" s="304"/>
      <c r="AK165" s="304"/>
      <c r="AL165" s="304"/>
      <c r="AM165" s="304"/>
      <c r="AN165" s="304"/>
      <c r="AO165" s="304"/>
      <c r="AP165" s="304"/>
      <c r="AQ165" s="304"/>
      <c r="AR165" s="304"/>
      <c r="AS165" s="304"/>
      <c r="AT165" s="309"/>
    </row>
    <row r="166" spans="1:75" ht="15" customHeight="1" x14ac:dyDescent="0.2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288"/>
      <c r="Y166" s="288"/>
      <c r="Z166" s="308"/>
      <c r="AA166" s="304"/>
      <c r="AB166" s="304"/>
      <c r="AC166" s="304"/>
      <c r="AD166" s="304"/>
      <c r="AE166" s="304"/>
      <c r="AF166" s="304"/>
      <c r="AG166" s="304"/>
      <c r="AH166" s="304"/>
      <c r="AI166" s="304"/>
      <c r="AJ166" s="304"/>
      <c r="AK166" s="304"/>
      <c r="AL166" s="304"/>
      <c r="AM166" s="304"/>
      <c r="AN166" s="304"/>
      <c r="AO166" s="304"/>
      <c r="AP166" s="304"/>
      <c r="AQ166" s="304"/>
      <c r="AR166" s="304"/>
      <c r="AS166" s="304"/>
      <c r="AT166" s="309"/>
    </row>
    <row r="167" spans="1:75" ht="15" customHeight="1" x14ac:dyDescent="0.2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288"/>
      <c r="Y167" s="288"/>
      <c r="Z167" s="308"/>
      <c r="AA167" s="304"/>
      <c r="AB167" s="304"/>
      <c r="AC167" s="304"/>
      <c r="AD167" s="304"/>
      <c r="AE167" s="304"/>
      <c r="AF167" s="304"/>
      <c r="AG167" s="304"/>
      <c r="AH167" s="304"/>
      <c r="AI167" s="304"/>
      <c r="AJ167" s="304"/>
      <c r="AK167" s="304"/>
      <c r="AL167" s="304"/>
      <c r="AM167" s="304"/>
      <c r="AN167" s="304"/>
      <c r="AO167" s="304"/>
      <c r="AP167" s="304"/>
      <c r="AQ167" s="304"/>
      <c r="AR167" s="304"/>
      <c r="AS167" s="304"/>
      <c r="AT167" s="309"/>
    </row>
    <row r="168" spans="1:75" ht="15" customHeight="1" thickBot="1" x14ac:dyDescent="0.25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Y168" s="257"/>
      <c r="Z168" s="310"/>
      <c r="AA168" s="311"/>
      <c r="AB168" s="311"/>
      <c r="AC168" s="311"/>
      <c r="AD168" s="311"/>
      <c r="AE168" s="311"/>
      <c r="AF168" s="311"/>
      <c r="AG168" s="311"/>
      <c r="AH168" s="311"/>
      <c r="AI168" s="311"/>
      <c r="AJ168" s="311"/>
      <c r="AK168" s="311"/>
      <c r="AL168" s="311"/>
      <c r="AM168" s="311"/>
      <c r="AN168" s="311"/>
      <c r="AO168" s="311"/>
      <c r="AP168" s="311"/>
      <c r="AQ168" s="311"/>
      <c r="AR168" s="311"/>
      <c r="AS168" s="311"/>
      <c r="AT168" s="312"/>
      <c r="BC168" s="295"/>
    </row>
    <row r="169" spans="1:75" ht="15" customHeight="1" x14ac:dyDescent="0.2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295"/>
      <c r="Y169" s="295"/>
      <c r="Z169" s="295"/>
      <c r="AA169" s="295"/>
      <c r="AB169" s="295"/>
      <c r="AC169" s="295"/>
      <c r="AD169" s="295"/>
      <c r="AE169" s="295"/>
      <c r="AF169" s="295"/>
      <c r="AG169" s="295"/>
      <c r="AH169" s="295"/>
      <c r="AI169" s="295"/>
      <c r="AJ169" s="295"/>
      <c r="AK169" s="295"/>
      <c r="AL169" s="295"/>
      <c r="AM169" s="295"/>
      <c r="AN169" s="295"/>
      <c r="AO169" s="295"/>
      <c r="AP169" s="295"/>
      <c r="AQ169" s="295"/>
      <c r="AR169" s="295"/>
      <c r="AS169" s="295"/>
      <c r="AT169" s="295"/>
      <c r="AU169" s="295"/>
      <c r="BB169" s="295"/>
    </row>
    <row r="170" spans="1:75" ht="15" customHeight="1" x14ac:dyDescent="0.2">
      <c r="B170" s="516"/>
      <c r="C170" s="517"/>
      <c r="D170" s="517"/>
      <c r="E170" s="517"/>
      <c r="F170" s="517"/>
      <c r="G170" s="517"/>
      <c r="H170" s="518"/>
      <c r="I170" s="476" t="s">
        <v>714</v>
      </c>
      <c r="J170" s="451"/>
      <c r="K170" s="451"/>
      <c r="L170" s="451"/>
      <c r="M170" s="451"/>
      <c r="N170" s="451"/>
      <c r="O170" s="451"/>
      <c r="P170" s="471" t="str">
        <f>P1</f>
        <v>Date : 04/12/2024
Rév : J</v>
      </c>
      <c r="Q170" s="471"/>
      <c r="R170" s="471"/>
      <c r="S170" s="471"/>
      <c r="T170" s="471"/>
      <c r="U170" s="471"/>
      <c r="V170" s="471"/>
      <c r="Y170" s="255"/>
      <c r="Z170" s="516"/>
      <c r="AA170" s="517"/>
      <c r="AB170" s="517"/>
      <c r="AC170" s="517"/>
      <c r="AD170" s="517"/>
      <c r="AE170" s="517"/>
      <c r="AF170" s="518"/>
      <c r="AG170" s="476" t="s">
        <v>714</v>
      </c>
      <c r="AH170" s="451"/>
      <c r="AI170" s="451"/>
      <c r="AJ170" s="451"/>
      <c r="AK170" s="451"/>
      <c r="AL170" s="451"/>
      <c r="AM170" s="451"/>
      <c r="AN170" s="471" t="str">
        <f>P1</f>
        <v>Date : 04/12/2024
Rév : J</v>
      </c>
      <c r="AO170" s="471"/>
      <c r="AP170" s="471"/>
      <c r="AQ170" s="471"/>
      <c r="AR170" s="471"/>
      <c r="AS170" s="471"/>
      <c r="AT170" s="471"/>
      <c r="BD170" s="295"/>
    </row>
    <row r="171" spans="1:75" ht="15" customHeight="1" x14ac:dyDescent="0.2">
      <c r="B171" s="628"/>
      <c r="C171" s="621"/>
      <c r="D171" s="621"/>
      <c r="E171" s="621"/>
      <c r="F171" s="621"/>
      <c r="G171" s="621"/>
      <c r="H171" s="622"/>
      <c r="I171" s="476"/>
      <c r="J171" s="451"/>
      <c r="K171" s="451"/>
      <c r="L171" s="451"/>
      <c r="M171" s="451"/>
      <c r="N171" s="451"/>
      <c r="O171" s="451"/>
      <c r="P171" s="471"/>
      <c r="Q171" s="471"/>
      <c r="R171" s="471"/>
      <c r="S171" s="471"/>
      <c r="T171" s="471"/>
      <c r="U171" s="471"/>
      <c r="V171" s="471"/>
      <c r="Y171" s="255"/>
      <c r="Z171" s="628"/>
      <c r="AA171" s="621"/>
      <c r="AB171" s="621"/>
      <c r="AC171" s="621"/>
      <c r="AD171" s="621"/>
      <c r="AE171" s="621"/>
      <c r="AF171" s="622"/>
      <c r="AG171" s="476"/>
      <c r="AH171" s="451"/>
      <c r="AI171" s="451"/>
      <c r="AJ171" s="451"/>
      <c r="AK171" s="451"/>
      <c r="AL171" s="451"/>
      <c r="AM171" s="451"/>
      <c r="AN171" s="471"/>
      <c r="AO171" s="471"/>
      <c r="AP171" s="471"/>
      <c r="AQ171" s="471"/>
      <c r="AR171" s="471"/>
      <c r="AS171" s="471"/>
      <c r="AT171" s="471"/>
    </row>
    <row r="172" spans="1:75" ht="15" customHeight="1" x14ac:dyDescent="0.2">
      <c r="B172" s="519"/>
      <c r="C172" s="520"/>
      <c r="D172" s="520"/>
      <c r="E172" s="520"/>
      <c r="F172" s="520"/>
      <c r="G172" s="520"/>
      <c r="H172" s="521"/>
      <c r="I172" s="451"/>
      <c r="J172" s="451"/>
      <c r="K172" s="451"/>
      <c r="L172" s="451"/>
      <c r="M172" s="451"/>
      <c r="N172" s="451"/>
      <c r="O172" s="451"/>
      <c r="P172" s="471"/>
      <c r="Q172" s="471"/>
      <c r="R172" s="471"/>
      <c r="S172" s="471"/>
      <c r="T172" s="471"/>
      <c r="U172" s="471"/>
      <c r="V172" s="471"/>
      <c r="Z172" s="519"/>
      <c r="AA172" s="520"/>
      <c r="AB172" s="520"/>
      <c r="AC172" s="520"/>
      <c r="AD172" s="520"/>
      <c r="AE172" s="520"/>
      <c r="AF172" s="521"/>
      <c r="AG172" s="451"/>
      <c r="AH172" s="451"/>
      <c r="AI172" s="451"/>
      <c r="AJ172" s="451"/>
      <c r="AK172" s="451"/>
      <c r="AL172" s="451"/>
      <c r="AM172" s="451"/>
      <c r="AN172" s="471"/>
      <c r="AO172" s="471"/>
      <c r="AP172" s="471"/>
      <c r="AQ172" s="471"/>
      <c r="AR172" s="471"/>
      <c r="AS172" s="471"/>
      <c r="AT172" s="471"/>
      <c r="AU172" s="255"/>
    </row>
    <row r="173" spans="1:75" ht="15" customHeight="1" x14ac:dyDescent="0.2">
      <c r="B173" s="263"/>
      <c r="AG173" s="295"/>
      <c r="AH173" s="295"/>
      <c r="AI173" s="295"/>
      <c r="AJ173" s="295"/>
      <c r="AK173" s="295"/>
      <c r="AL173" s="295"/>
      <c r="AM173" s="295"/>
      <c r="AN173" s="303"/>
      <c r="AO173" s="303"/>
      <c r="AP173" s="303"/>
      <c r="AQ173" s="303"/>
      <c r="AR173" s="303"/>
      <c r="AS173" s="303"/>
      <c r="AT173" s="303"/>
      <c r="BE173" s="295"/>
      <c r="BF173" s="295"/>
      <c r="BG173" s="295"/>
      <c r="BH173" s="295"/>
      <c r="BI173" s="303"/>
      <c r="BJ173" s="303"/>
      <c r="BK173" s="303"/>
      <c r="BL173" s="303"/>
      <c r="BM173" s="303"/>
      <c r="BN173" s="303"/>
      <c r="BO173" s="303"/>
    </row>
    <row r="174" spans="1:75" ht="15" customHeight="1" x14ac:dyDescent="0.2">
      <c r="B174" s="499" t="s">
        <v>735</v>
      </c>
      <c r="C174" s="500"/>
      <c r="D174" s="500"/>
      <c r="E174" s="500"/>
      <c r="F174" s="500"/>
      <c r="G174" s="500"/>
      <c r="H174" s="500"/>
      <c r="I174" s="500"/>
      <c r="J174" s="500"/>
      <c r="K174" s="500"/>
      <c r="L174" s="500"/>
      <c r="M174" s="500"/>
      <c r="N174" s="500"/>
      <c r="O174" s="500"/>
      <c r="P174" s="500"/>
      <c r="Q174" s="500"/>
      <c r="R174" s="500"/>
      <c r="S174" s="500"/>
      <c r="T174" s="500"/>
      <c r="U174" s="500"/>
      <c r="V174" s="501"/>
      <c r="Z174" s="499" t="s">
        <v>764</v>
      </c>
      <c r="AA174" s="500"/>
      <c r="AB174" s="500"/>
      <c r="AC174" s="500"/>
      <c r="AD174" s="500"/>
      <c r="AE174" s="500"/>
      <c r="AF174" s="500"/>
      <c r="AG174" s="500"/>
      <c r="AH174" s="500"/>
      <c r="AI174" s="500"/>
      <c r="AJ174" s="501"/>
      <c r="AK174" s="547" t="s">
        <v>765</v>
      </c>
      <c r="AL174" s="547"/>
      <c r="AM174" s="547"/>
      <c r="AN174" s="547"/>
      <c r="AO174" s="547"/>
      <c r="AP174" s="547"/>
      <c r="AQ174" s="547"/>
      <c r="AR174" s="547"/>
      <c r="AS174" s="547"/>
      <c r="AT174" s="547"/>
    </row>
    <row r="175" spans="1:75" ht="15" customHeight="1" x14ac:dyDescent="0.2">
      <c r="B175" s="502"/>
      <c r="C175" s="503"/>
      <c r="D175" s="503"/>
      <c r="E175" s="503"/>
      <c r="F175" s="503"/>
      <c r="G175" s="503"/>
      <c r="H175" s="503"/>
      <c r="I175" s="503"/>
      <c r="J175" s="503"/>
      <c r="K175" s="503"/>
      <c r="L175" s="503"/>
      <c r="M175" s="503"/>
      <c r="N175" s="503"/>
      <c r="O175" s="503"/>
      <c r="P175" s="503"/>
      <c r="Q175" s="503"/>
      <c r="R175" s="503"/>
      <c r="S175" s="503"/>
      <c r="T175" s="503"/>
      <c r="U175" s="503"/>
      <c r="V175" s="504"/>
      <c r="Z175" s="502"/>
      <c r="AA175" s="503"/>
      <c r="AB175" s="503"/>
      <c r="AC175" s="503"/>
      <c r="AD175" s="503"/>
      <c r="AE175" s="503"/>
      <c r="AF175" s="503"/>
      <c r="AG175" s="503"/>
      <c r="AH175" s="503"/>
      <c r="AI175" s="503"/>
      <c r="AJ175" s="504"/>
      <c r="AK175" s="547"/>
      <c r="AL175" s="547"/>
      <c r="AM175" s="547"/>
      <c r="AN175" s="547"/>
      <c r="AO175" s="547"/>
      <c r="AP175" s="547"/>
      <c r="AQ175" s="547"/>
      <c r="AR175" s="547"/>
      <c r="AS175" s="547"/>
      <c r="AT175" s="547"/>
    </row>
    <row r="176" spans="1:75" ht="15" customHeight="1" x14ac:dyDescent="0.2">
      <c r="B176" s="258"/>
      <c r="C176" s="258"/>
      <c r="D176" s="258"/>
      <c r="E176" s="258"/>
      <c r="F176" s="258"/>
      <c r="G176" s="258"/>
      <c r="H176" s="258"/>
      <c r="I176" s="258"/>
      <c r="J176" s="258"/>
      <c r="K176" s="258"/>
      <c r="L176" s="258"/>
      <c r="M176" s="258"/>
      <c r="N176" s="258"/>
      <c r="O176" s="258"/>
      <c r="P176" s="258"/>
      <c r="Q176" s="258"/>
      <c r="R176" s="258"/>
      <c r="S176" s="258"/>
      <c r="T176" s="258"/>
      <c r="U176" s="258"/>
      <c r="V176" s="258"/>
    </row>
    <row r="177" spans="3:46" ht="15" customHeight="1" x14ac:dyDescent="0.2">
      <c r="H177" s="666" t="s">
        <v>864</v>
      </c>
      <c r="I177" s="666"/>
      <c r="J177" s="666"/>
      <c r="K177" s="666"/>
      <c r="R177" s="523" t="s">
        <v>864</v>
      </c>
      <c r="S177" s="524"/>
      <c r="T177" s="524"/>
      <c r="U177" s="525"/>
    </row>
    <row r="178" spans="3:46" ht="15" customHeight="1" x14ac:dyDescent="0.2">
      <c r="C178" s="675" t="s">
        <v>865</v>
      </c>
      <c r="D178" s="676"/>
      <c r="E178" s="677"/>
      <c r="F178" s="653" t="s">
        <v>859</v>
      </c>
      <c r="G178" s="654"/>
      <c r="H178" s="665" t="s">
        <v>862</v>
      </c>
      <c r="I178" s="665"/>
      <c r="J178" s="665" t="s">
        <v>863</v>
      </c>
      <c r="K178" s="665"/>
      <c r="M178" s="675" t="s">
        <v>865</v>
      </c>
      <c r="N178" s="676"/>
      <c r="O178" s="677"/>
      <c r="P178" s="653" t="s">
        <v>859</v>
      </c>
      <c r="Q178" s="655"/>
      <c r="R178" s="526" t="s">
        <v>862</v>
      </c>
      <c r="S178" s="527"/>
      <c r="T178" s="526" t="s">
        <v>863</v>
      </c>
      <c r="U178" s="527"/>
      <c r="Z178" s="719" t="s">
        <v>715</v>
      </c>
      <c r="AA178" s="720"/>
      <c r="AB178" s="720"/>
      <c r="AC178" s="720"/>
      <c r="AD178" s="720"/>
      <c r="AE178" s="720"/>
      <c r="AF178" s="720"/>
      <c r="AG178" s="720"/>
      <c r="AH178" s="720"/>
      <c r="AI178" s="720"/>
      <c r="AJ178" s="720"/>
      <c r="AK178" s="720"/>
      <c r="AL178" s="720"/>
      <c r="AM178" s="720"/>
      <c r="AN178" s="720"/>
      <c r="AO178" s="720"/>
      <c r="AP178" s="720"/>
      <c r="AQ178" s="720"/>
      <c r="AR178" s="720"/>
      <c r="AS178" s="720"/>
      <c r="AT178" s="721"/>
    </row>
    <row r="179" spans="3:46" ht="15" customHeight="1" x14ac:dyDescent="0.2">
      <c r="C179" s="667" t="s">
        <v>732</v>
      </c>
      <c r="D179" s="671"/>
      <c r="E179" s="668"/>
      <c r="F179" s="667" t="s">
        <v>731</v>
      </c>
      <c r="G179" s="668"/>
      <c r="H179" s="673" t="s">
        <v>717</v>
      </c>
      <c r="I179" s="673"/>
      <c r="J179" s="673" t="s">
        <v>717</v>
      </c>
      <c r="K179" s="673"/>
      <c r="M179" s="667" t="s">
        <v>732</v>
      </c>
      <c r="N179" s="671"/>
      <c r="O179" s="668"/>
      <c r="P179" s="667" t="s">
        <v>731</v>
      </c>
      <c r="Q179" s="668"/>
      <c r="R179" s="678" t="s">
        <v>717</v>
      </c>
      <c r="S179" s="679"/>
      <c r="T179" s="678" t="s">
        <v>717</v>
      </c>
      <c r="U179" s="679"/>
      <c r="Z179" s="499" t="s">
        <v>716</v>
      </c>
      <c r="AA179" s="500"/>
      <c r="AB179" s="500"/>
      <c r="AC179" s="500"/>
      <c r="AD179" s="500"/>
      <c r="AE179" s="500"/>
      <c r="AF179" s="500"/>
      <c r="AG179" s="500"/>
      <c r="AH179" s="500"/>
      <c r="AI179" s="500"/>
      <c r="AJ179" s="500"/>
      <c r="AK179" s="500"/>
      <c r="AL179" s="500"/>
      <c r="AM179" s="501"/>
      <c r="AN179" s="562" t="s">
        <v>717</v>
      </c>
      <c r="AO179" s="562"/>
      <c r="AP179" s="562"/>
      <c r="AQ179" s="562"/>
      <c r="AR179" s="562"/>
      <c r="AS179" s="562"/>
      <c r="AT179" s="562"/>
    </row>
    <row r="180" spans="3:46" ht="15" customHeight="1" x14ac:dyDescent="0.2">
      <c r="C180" s="669"/>
      <c r="D180" s="672"/>
      <c r="E180" s="670"/>
      <c r="F180" s="669"/>
      <c r="G180" s="670"/>
      <c r="H180" s="674"/>
      <c r="I180" s="674"/>
      <c r="J180" s="674"/>
      <c r="K180" s="674"/>
      <c r="L180" s="271"/>
      <c r="M180" s="669"/>
      <c r="N180" s="672"/>
      <c r="O180" s="670"/>
      <c r="P180" s="669"/>
      <c r="Q180" s="670"/>
      <c r="R180" s="680"/>
      <c r="S180" s="681"/>
      <c r="T180" s="680"/>
      <c r="U180" s="681"/>
      <c r="Z180" s="502"/>
      <c r="AA180" s="503"/>
      <c r="AB180" s="503"/>
      <c r="AC180" s="503"/>
      <c r="AD180" s="503"/>
      <c r="AE180" s="503"/>
      <c r="AF180" s="503"/>
      <c r="AG180" s="503"/>
      <c r="AH180" s="503"/>
      <c r="AI180" s="503"/>
      <c r="AJ180" s="503"/>
      <c r="AK180" s="503"/>
      <c r="AL180" s="503"/>
      <c r="AM180" s="504"/>
      <c r="AN180" s="562"/>
      <c r="AO180" s="562"/>
      <c r="AP180" s="562"/>
      <c r="AQ180" s="562"/>
      <c r="AR180" s="562"/>
      <c r="AS180" s="562"/>
      <c r="AT180" s="562"/>
    </row>
    <row r="181" spans="3:46" ht="15" customHeight="1" x14ac:dyDescent="0.2">
      <c r="C181" s="269" t="s">
        <v>769</v>
      </c>
      <c r="D181" s="497" t="s">
        <v>839</v>
      </c>
      <c r="E181" s="498"/>
      <c r="F181" s="495" t="s">
        <v>697</v>
      </c>
      <c r="G181" s="496"/>
      <c r="H181" s="369" t="s">
        <v>733</v>
      </c>
      <c r="I181" s="370" t="s">
        <v>734</v>
      </c>
      <c r="J181" s="369" t="s">
        <v>733</v>
      </c>
      <c r="K181" s="370" t="s">
        <v>734</v>
      </c>
      <c r="M181" s="269" t="s">
        <v>804</v>
      </c>
      <c r="N181" s="497" t="s">
        <v>839</v>
      </c>
      <c r="O181" s="498"/>
      <c r="P181" s="495" t="s">
        <v>697</v>
      </c>
      <c r="Q181" s="496"/>
      <c r="R181" s="369" t="s">
        <v>733</v>
      </c>
      <c r="S181" s="370" t="s">
        <v>734</v>
      </c>
      <c r="T181" s="369" t="s">
        <v>733</v>
      </c>
      <c r="U181" s="370" t="s">
        <v>734</v>
      </c>
      <c r="Z181" s="539" t="s">
        <v>718</v>
      </c>
      <c r="AA181" s="540"/>
      <c r="AB181" s="540"/>
      <c r="AC181" s="540"/>
      <c r="AD181" s="540"/>
      <c r="AE181" s="540"/>
      <c r="AF181" s="540"/>
      <c r="AG181" s="540"/>
      <c r="AH181" s="540"/>
      <c r="AI181" s="540"/>
      <c r="AJ181" s="540"/>
      <c r="AK181" s="540"/>
      <c r="AL181" s="540"/>
      <c r="AM181" s="541"/>
      <c r="AN181" s="537" t="s">
        <v>670</v>
      </c>
      <c r="AO181" s="538"/>
      <c r="AP181" s="538"/>
      <c r="AQ181" s="538" t="s">
        <v>690</v>
      </c>
      <c r="AR181" s="538" t="s">
        <v>671</v>
      </c>
      <c r="AS181" s="538"/>
      <c r="AT181" s="545"/>
    </row>
    <row r="182" spans="3:46" ht="15" customHeight="1" x14ac:dyDescent="0.2">
      <c r="C182" s="269" t="s">
        <v>770</v>
      </c>
      <c r="D182" s="497" t="s">
        <v>839</v>
      </c>
      <c r="E182" s="498"/>
      <c r="F182" s="495" t="s">
        <v>697</v>
      </c>
      <c r="G182" s="496"/>
      <c r="H182" s="369" t="s">
        <v>733</v>
      </c>
      <c r="I182" s="370" t="s">
        <v>734</v>
      </c>
      <c r="J182" s="369" t="s">
        <v>733</v>
      </c>
      <c r="K182" s="370" t="s">
        <v>734</v>
      </c>
      <c r="M182" s="269" t="s">
        <v>805</v>
      </c>
      <c r="N182" s="497" t="s">
        <v>839</v>
      </c>
      <c r="O182" s="498"/>
      <c r="P182" s="495" t="s">
        <v>697</v>
      </c>
      <c r="Q182" s="496"/>
      <c r="R182" s="369" t="s">
        <v>733</v>
      </c>
      <c r="S182" s="370" t="s">
        <v>734</v>
      </c>
      <c r="T182" s="369" t="s">
        <v>733</v>
      </c>
      <c r="U182" s="370" t="s">
        <v>734</v>
      </c>
      <c r="Z182" s="542"/>
      <c r="AA182" s="543"/>
      <c r="AB182" s="543"/>
      <c r="AC182" s="543"/>
      <c r="AD182" s="543"/>
      <c r="AE182" s="543"/>
      <c r="AF182" s="543"/>
      <c r="AG182" s="543"/>
      <c r="AH182" s="543"/>
      <c r="AI182" s="543"/>
      <c r="AJ182" s="543"/>
      <c r="AK182" s="543"/>
      <c r="AL182" s="543"/>
      <c r="AM182" s="544"/>
      <c r="AN182" s="537"/>
      <c r="AO182" s="538"/>
      <c r="AP182" s="538"/>
      <c r="AQ182" s="538"/>
      <c r="AR182" s="538"/>
      <c r="AS182" s="538"/>
      <c r="AT182" s="545"/>
    </row>
    <row r="183" spans="3:46" ht="15" customHeight="1" x14ac:dyDescent="0.2">
      <c r="C183" s="269" t="s">
        <v>771</v>
      </c>
      <c r="D183" s="497" t="s">
        <v>839</v>
      </c>
      <c r="E183" s="498"/>
      <c r="F183" s="495" t="s">
        <v>697</v>
      </c>
      <c r="G183" s="496"/>
      <c r="H183" s="369" t="s">
        <v>733</v>
      </c>
      <c r="I183" s="370" t="s">
        <v>734</v>
      </c>
      <c r="J183" s="369" t="s">
        <v>733</v>
      </c>
      <c r="K183" s="370" t="s">
        <v>734</v>
      </c>
      <c r="M183" s="269" t="s">
        <v>806</v>
      </c>
      <c r="N183" s="497" t="s">
        <v>839</v>
      </c>
      <c r="O183" s="498"/>
      <c r="P183" s="495" t="s">
        <v>697</v>
      </c>
      <c r="Q183" s="496"/>
      <c r="R183" s="369" t="s">
        <v>733</v>
      </c>
      <c r="S183" s="370" t="s">
        <v>734</v>
      </c>
      <c r="T183" s="369" t="s">
        <v>733</v>
      </c>
      <c r="U183" s="370" t="s">
        <v>734</v>
      </c>
      <c r="X183" s="260"/>
      <c r="Z183" s="539" t="s">
        <v>719</v>
      </c>
      <c r="AA183" s="540"/>
      <c r="AB183" s="540"/>
      <c r="AC183" s="540"/>
      <c r="AD183" s="540"/>
      <c r="AE183" s="540"/>
      <c r="AF183" s="540"/>
      <c r="AG183" s="540"/>
      <c r="AH183" s="540"/>
      <c r="AI183" s="540"/>
      <c r="AJ183" s="540"/>
      <c r="AK183" s="540"/>
      <c r="AL183" s="540"/>
      <c r="AM183" s="541"/>
      <c r="AN183" s="537" t="s">
        <v>670</v>
      </c>
      <c r="AO183" s="538"/>
      <c r="AP183" s="538"/>
      <c r="AQ183" s="538" t="s">
        <v>690</v>
      </c>
      <c r="AR183" s="538" t="s">
        <v>671</v>
      </c>
      <c r="AS183" s="538"/>
      <c r="AT183" s="545"/>
    </row>
    <row r="184" spans="3:46" ht="15" customHeight="1" x14ac:dyDescent="0.2">
      <c r="C184" s="269" t="s">
        <v>772</v>
      </c>
      <c r="D184" s="497" t="s">
        <v>839</v>
      </c>
      <c r="E184" s="498"/>
      <c r="F184" s="495" t="s">
        <v>697</v>
      </c>
      <c r="G184" s="496"/>
      <c r="H184" s="369" t="s">
        <v>733</v>
      </c>
      <c r="I184" s="370" t="s">
        <v>734</v>
      </c>
      <c r="J184" s="369" t="s">
        <v>733</v>
      </c>
      <c r="K184" s="370" t="s">
        <v>734</v>
      </c>
      <c r="M184" s="269" t="s">
        <v>807</v>
      </c>
      <c r="N184" s="497" t="s">
        <v>839</v>
      </c>
      <c r="O184" s="498"/>
      <c r="P184" s="495" t="s">
        <v>697</v>
      </c>
      <c r="Q184" s="496"/>
      <c r="R184" s="369" t="s">
        <v>733</v>
      </c>
      <c r="S184" s="370" t="s">
        <v>734</v>
      </c>
      <c r="T184" s="369" t="s">
        <v>733</v>
      </c>
      <c r="U184" s="370" t="s">
        <v>734</v>
      </c>
      <c r="X184" s="260"/>
      <c r="Z184" s="542"/>
      <c r="AA184" s="543"/>
      <c r="AB184" s="543"/>
      <c r="AC184" s="543"/>
      <c r="AD184" s="543"/>
      <c r="AE184" s="543"/>
      <c r="AF184" s="543"/>
      <c r="AG184" s="543"/>
      <c r="AH184" s="543"/>
      <c r="AI184" s="543"/>
      <c r="AJ184" s="543"/>
      <c r="AK184" s="543"/>
      <c r="AL184" s="543"/>
      <c r="AM184" s="544"/>
      <c r="AN184" s="537"/>
      <c r="AO184" s="538"/>
      <c r="AP184" s="538"/>
      <c r="AQ184" s="538"/>
      <c r="AR184" s="538"/>
      <c r="AS184" s="538"/>
      <c r="AT184" s="545"/>
    </row>
    <row r="185" spans="3:46" ht="15" customHeight="1" x14ac:dyDescent="0.2">
      <c r="C185" s="269" t="s">
        <v>773</v>
      </c>
      <c r="D185" s="497" t="s">
        <v>839</v>
      </c>
      <c r="E185" s="498"/>
      <c r="F185" s="495" t="s">
        <v>697</v>
      </c>
      <c r="G185" s="496"/>
      <c r="H185" s="369" t="s">
        <v>733</v>
      </c>
      <c r="I185" s="370" t="s">
        <v>734</v>
      </c>
      <c r="J185" s="369" t="s">
        <v>733</v>
      </c>
      <c r="K185" s="370" t="s">
        <v>734</v>
      </c>
      <c r="M185" s="269" t="s">
        <v>808</v>
      </c>
      <c r="N185" s="497" t="s">
        <v>839</v>
      </c>
      <c r="O185" s="498"/>
      <c r="P185" s="495" t="s">
        <v>697</v>
      </c>
      <c r="Q185" s="496"/>
      <c r="R185" s="369" t="s">
        <v>733</v>
      </c>
      <c r="S185" s="370" t="s">
        <v>734</v>
      </c>
      <c r="T185" s="369" t="s">
        <v>733</v>
      </c>
      <c r="U185" s="370" t="s">
        <v>734</v>
      </c>
      <c r="X185" s="260"/>
      <c r="Z185" s="539" t="s">
        <v>720</v>
      </c>
      <c r="AA185" s="540"/>
      <c r="AB185" s="540"/>
      <c r="AC185" s="540"/>
      <c r="AD185" s="540"/>
      <c r="AE185" s="540"/>
      <c r="AF185" s="540"/>
      <c r="AG185" s="540"/>
      <c r="AH185" s="540"/>
      <c r="AI185" s="540"/>
      <c r="AJ185" s="540"/>
      <c r="AK185" s="540"/>
      <c r="AL185" s="540"/>
      <c r="AM185" s="541"/>
      <c r="AN185" s="537" t="s">
        <v>670</v>
      </c>
      <c r="AO185" s="538"/>
      <c r="AP185" s="538"/>
      <c r="AQ185" s="538" t="s">
        <v>690</v>
      </c>
      <c r="AR185" s="538" t="s">
        <v>671</v>
      </c>
      <c r="AS185" s="538"/>
      <c r="AT185" s="545"/>
    </row>
    <row r="186" spans="3:46" ht="15" customHeight="1" x14ac:dyDescent="0.2">
      <c r="C186" s="269" t="s">
        <v>774</v>
      </c>
      <c r="D186" s="497" t="s">
        <v>839</v>
      </c>
      <c r="E186" s="498"/>
      <c r="F186" s="495" t="s">
        <v>697</v>
      </c>
      <c r="G186" s="496"/>
      <c r="H186" s="369" t="s">
        <v>733</v>
      </c>
      <c r="I186" s="370" t="s">
        <v>734</v>
      </c>
      <c r="J186" s="369" t="s">
        <v>733</v>
      </c>
      <c r="K186" s="370" t="s">
        <v>734</v>
      </c>
      <c r="M186" s="269" t="s">
        <v>809</v>
      </c>
      <c r="N186" s="497" t="s">
        <v>839</v>
      </c>
      <c r="O186" s="498"/>
      <c r="P186" s="495" t="s">
        <v>697</v>
      </c>
      <c r="Q186" s="496"/>
      <c r="R186" s="369" t="s">
        <v>733</v>
      </c>
      <c r="S186" s="370" t="s">
        <v>734</v>
      </c>
      <c r="T186" s="369" t="s">
        <v>733</v>
      </c>
      <c r="U186" s="370" t="s">
        <v>734</v>
      </c>
      <c r="X186" s="260"/>
      <c r="Z186" s="542"/>
      <c r="AA186" s="543"/>
      <c r="AB186" s="543"/>
      <c r="AC186" s="543"/>
      <c r="AD186" s="543"/>
      <c r="AE186" s="543"/>
      <c r="AF186" s="543"/>
      <c r="AG186" s="543"/>
      <c r="AH186" s="543"/>
      <c r="AI186" s="543"/>
      <c r="AJ186" s="543"/>
      <c r="AK186" s="543"/>
      <c r="AL186" s="543"/>
      <c r="AM186" s="544"/>
      <c r="AN186" s="537"/>
      <c r="AO186" s="538"/>
      <c r="AP186" s="538"/>
      <c r="AQ186" s="538"/>
      <c r="AR186" s="538"/>
      <c r="AS186" s="538"/>
      <c r="AT186" s="545"/>
    </row>
    <row r="187" spans="3:46" ht="15" customHeight="1" x14ac:dyDescent="0.2">
      <c r="C187" s="269" t="s">
        <v>775</v>
      </c>
      <c r="D187" s="497" t="s">
        <v>839</v>
      </c>
      <c r="E187" s="498"/>
      <c r="F187" s="495" t="s">
        <v>697</v>
      </c>
      <c r="G187" s="496"/>
      <c r="H187" s="369" t="s">
        <v>733</v>
      </c>
      <c r="I187" s="370" t="s">
        <v>734</v>
      </c>
      <c r="J187" s="369" t="s">
        <v>733</v>
      </c>
      <c r="K187" s="370" t="s">
        <v>734</v>
      </c>
      <c r="M187" s="269" t="s">
        <v>810</v>
      </c>
      <c r="N187" s="497" t="s">
        <v>839</v>
      </c>
      <c r="O187" s="498"/>
      <c r="P187" s="495" t="s">
        <v>697</v>
      </c>
      <c r="Q187" s="496"/>
      <c r="R187" s="369" t="s">
        <v>733</v>
      </c>
      <c r="S187" s="370" t="s">
        <v>734</v>
      </c>
      <c r="T187" s="369" t="s">
        <v>733</v>
      </c>
      <c r="U187" s="370" t="s">
        <v>734</v>
      </c>
      <c r="X187" s="260"/>
      <c r="Z187" s="539" t="s">
        <v>721</v>
      </c>
      <c r="AA187" s="540"/>
      <c r="AB187" s="540"/>
      <c r="AC187" s="540"/>
      <c r="AD187" s="540"/>
      <c r="AE187" s="540"/>
      <c r="AF187" s="540"/>
      <c r="AG187" s="540"/>
      <c r="AH187" s="540"/>
      <c r="AI187" s="540"/>
      <c r="AJ187" s="540"/>
      <c r="AK187" s="540"/>
      <c r="AL187" s="540"/>
      <c r="AM187" s="541"/>
      <c r="AN187" s="537" t="s">
        <v>670</v>
      </c>
      <c r="AO187" s="538"/>
      <c r="AP187" s="538"/>
      <c r="AQ187" s="538" t="s">
        <v>690</v>
      </c>
      <c r="AR187" s="538" t="s">
        <v>671</v>
      </c>
      <c r="AS187" s="538"/>
      <c r="AT187" s="545"/>
    </row>
    <row r="188" spans="3:46" ht="15" customHeight="1" x14ac:dyDescent="0.2">
      <c r="C188" s="269" t="s">
        <v>776</v>
      </c>
      <c r="D188" s="497" t="s">
        <v>839</v>
      </c>
      <c r="E188" s="498"/>
      <c r="F188" s="495" t="s">
        <v>697</v>
      </c>
      <c r="G188" s="496"/>
      <c r="H188" s="369" t="s">
        <v>733</v>
      </c>
      <c r="I188" s="370" t="s">
        <v>734</v>
      </c>
      <c r="J188" s="369" t="s">
        <v>733</v>
      </c>
      <c r="K188" s="370" t="s">
        <v>734</v>
      </c>
      <c r="M188" s="269" t="s">
        <v>811</v>
      </c>
      <c r="N188" s="497" t="s">
        <v>839</v>
      </c>
      <c r="O188" s="498"/>
      <c r="P188" s="495" t="s">
        <v>697</v>
      </c>
      <c r="Q188" s="496"/>
      <c r="R188" s="369" t="s">
        <v>733</v>
      </c>
      <c r="S188" s="370" t="s">
        <v>734</v>
      </c>
      <c r="T188" s="369" t="s">
        <v>733</v>
      </c>
      <c r="U188" s="370" t="s">
        <v>734</v>
      </c>
      <c r="Z188" s="542"/>
      <c r="AA188" s="543"/>
      <c r="AB188" s="543"/>
      <c r="AC188" s="543"/>
      <c r="AD188" s="543"/>
      <c r="AE188" s="543"/>
      <c r="AF188" s="543"/>
      <c r="AG188" s="543"/>
      <c r="AH188" s="543"/>
      <c r="AI188" s="543"/>
      <c r="AJ188" s="543"/>
      <c r="AK188" s="543"/>
      <c r="AL188" s="543"/>
      <c r="AM188" s="544"/>
      <c r="AN188" s="537"/>
      <c r="AO188" s="538"/>
      <c r="AP188" s="538"/>
      <c r="AQ188" s="538"/>
      <c r="AR188" s="538"/>
      <c r="AS188" s="538"/>
      <c r="AT188" s="545"/>
    </row>
    <row r="189" spans="3:46" ht="15" customHeight="1" x14ac:dyDescent="0.2">
      <c r="C189" s="269" t="s">
        <v>777</v>
      </c>
      <c r="D189" s="497" t="s">
        <v>839</v>
      </c>
      <c r="E189" s="498"/>
      <c r="F189" s="495" t="s">
        <v>697</v>
      </c>
      <c r="G189" s="496"/>
      <c r="H189" s="369" t="s">
        <v>733</v>
      </c>
      <c r="I189" s="370" t="s">
        <v>734</v>
      </c>
      <c r="J189" s="369" t="s">
        <v>733</v>
      </c>
      <c r="K189" s="370" t="s">
        <v>734</v>
      </c>
      <c r="M189" s="269" t="s">
        <v>812</v>
      </c>
      <c r="N189" s="497" t="s">
        <v>839</v>
      </c>
      <c r="O189" s="498"/>
      <c r="P189" s="495" t="s">
        <v>697</v>
      </c>
      <c r="Q189" s="496"/>
      <c r="R189" s="369" t="s">
        <v>733</v>
      </c>
      <c r="S189" s="370" t="s">
        <v>734</v>
      </c>
      <c r="T189" s="369" t="s">
        <v>733</v>
      </c>
      <c r="U189" s="370" t="s">
        <v>734</v>
      </c>
      <c r="Z189" s="539" t="s">
        <v>722</v>
      </c>
      <c r="AA189" s="540"/>
      <c r="AB189" s="540"/>
      <c r="AC189" s="540"/>
      <c r="AD189" s="540"/>
      <c r="AE189" s="540"/>
      <c r="AF189" s="540"/>
      <c r="AG189" s="540"/>
      <c r="AH189" s="540"/>
      <c r="AI189" s="540"/>
      <c r="AJ189" s="540"/>
      <c r="AK189" s="540"/>
      <c r="AL189" s="540"/>
      <c r="AM189" s="541"/>
      <c r="AN189" s="537" t="s">
        <v>670</v>
      </c>
      <c r="AO189" s="538"/>
      <c r="AP189" s="538"/>
      <c r="AQ189" s="538" t="s">
        <v>690</v>
      </c>
      <c r="AR189" s="538" t="s">
        <v>671</v>
      </c>
      <c r="AS189" s="538"/>
      <c r="AT189" s="545"/>
    </row>
    <row r="190" spans="3:46" ht="15" customHeight="1" x14ac:dyDescent="0.2">
      <c r="C190" s="269" t="s">
        <v>778</v>
      </c>
      <c r="D190" s="497" t="s">
        <v>839</v>
      </c>
      <c r="E190" s="498"/>
      <c r="F190" s="495" t="s">
        <v>697</v>
      </c>
      <c r="G190" s="496"/>
      <c r="H190" s="369" t="s">
        <v>733</v>
      </c>
      <c r="I190" s="370" t="s">
        <v>734</v>
      </c>
      <c r="J190" s="369" t="s">
        <v>733</v>
      </c>
      <c r="K190" s="370" t="s">
        <v>734</v>
      </c>
      <c r="M190" s="269" t="s">
        <v>813</v>
      </c>
      <c r="N190" s="497" t="s">
        <v>839</v>
      </c>
      <c r="O190" s="498"/>
      <c r="P190" s="495" t="s">
        <v>697</v>
      </c>
      <c r="Q190" s="496"/>
      <c r="R190" s="369" t="s">
        <v>733</v>
      </c>
      <c r="S190" s="370" t="s">
        <v>734</v>
      </c>
      <c r="T190" s="369" t="s">
        <v>733</v>
      </c>
      <c r="U190" s="370" t="s">
        <v>734</v>
      </c>
      <c r="Z190" s="542"/>
      <c r="AA190" s="543"/>
      <c r="AB190" s="543"/>
      <c r="AC190" s="543"/>
      <c r="AD190" s="543"/>
      <c r="AE190" s="543"/>
      <c r="AF190" s="543"/>
      <c r="AG190" s="543"/>
      <c r="AH190" s="543"/>
      <c r="AI190" s="543"/>
      <c r="AJ190" s="543"/>
      <c r="AK190" s="543"/>
      <c r="AL190" s="543"/>
      <c r="AM190" s="544"/>
      <c r="AN190" s="537"/>
      <c r="AO190" s="538"/>
      <c r="AP190" s="538"/>
      <c r="AQ190" s="538"/>
      <c r="AR190" s="538"/>
      <c r="AS190" s="538"/>
      <c r="AT190" s="545"/>
    </row>
    <row r="191" spans="3:46" ht="15" customHeight="1" x14ac:dyDescent="0.2">
      <c r="C191" s="269" t="s">
        <v>779</v>
      </c>
      <c r="D191" s="497" t="s">
        <v>839</v>
      </c>
      <c r="E191" s="498"/>
      <c r="F191" s="495" t="s">
        <v>697</v>
      </c>
      <c r="G191" s="496"/>
      <c r="H191" s="369" t="s">
        <v>733</v>
      </c>
      <c r="I191" s="370" t="s">
        <v>734</v>
      </c>
      <c r="J191" s="369" t="s">
        <v>733</v>
      </c>
      <c r="K191" s="370" t="s">
        <v>734</v>
      </c>
      <c r="M191" s="269" t="s">
        <v>814</v>
      </c>
      <c r="N191" s="497" t="s">
        <v>839</v>
      </c>
      <c r="O191" s="498"/>
      <c r="P191" s="495" t="s">
        <v>697</v>
      </c>
      <c r="Q191" s="496"/>
      <c r="R191" s="369" t="s">
        <v>733</v>
      </c>
      <c r="S191" s="370" t="s">
        <v>734</v>
      </c>
      <c r="T191" s="369" t="s">
        <v>733</v>
      </c>
      <c r="U191" s="370" t="s">
        <v>734</v>
      </c>
      <c r="Z191" s="539" t="s">
        <v>723</v>
      </c>
      <c r="AA191" s="540"/>
      <c r="AB191" s="540"/>
      <c r="AC191" s="540"/>
      <c r="AD191" s="540"/>
      <c r="AE191" s="540"/>
      <c r="AF191" s="540"/>
      <c r="AG191" s="540"/>
      <c r="AH191" s="540"/>
      <c r="AI191" s="540"/>
      <c r="AJ191" s="540"/>
      <c r="AK191" s="540"/>
      <c r="AL191" s="540"/>
      <c r="AM191" s="541"/>
      <c r="AN191" s="537" t="s">
        <v>670</v>
      </c>
      <c r="AO191" s="538"/>
      <c r="AP191" s="538"/>
      <c r="AQ191" s="538" t="s">
        <v>690</v>
      </c>
      <c r="AR191" s="538" t="s">
        <v>671</v>
      </c>
      <c r="AS191" s="538"/>
      <c r="AT191" s="545"/>
    </row>
    <row r="192" spans="3:46" ht="15" customHeight="1" x14ac:dyDescent="0.2">
      <c r="C192" s="269" t="s">
        <v>780</v>
      </c>
      <c r="D192" s="497" t="s">
        <v>839</v>
      </c>
      <c r="E192" s="498"/>
      <c r="F192" s="495" t="s">
        <v>697</v>
      </c>
      <c r="G192" s="496"/>
      <c r="H192" s="369" t="s">
        <v>733</v>
      </c>
      <c r="I192" s="370" t="s">
        <v>734</v>
      </c>
      <c r="J192" s="369" t="s">
        <v>733</v>
      </c>
      <c r="K192" s="370" t="s">
        <v>734</v>
      </c>
      <c r="M192" s="269" t="s">
        <v>815</v>
      </c>
      <c r="N192" s="497" t="s">
        <v>839</v>
      </c>
      <c r="O192" s="498"/>
      <c r="P192" s="495" t="s">
        <v>697</v>
      </c>
      <c r="Q192" s="496"/>
      <c r="R192" s="369" t="s">
        <v>733</v>
      </c>
      <c r="S192" s="370" t="s">
        <v>734</v>
      </c>
      <c r="T192" s="369" t="s">
        <v>733</v>
      </c>
      <c r="U192" s="370" t="s">
        <v>734</v>
      </c>
      <c r="Z192" s="542"/>
      <c r="AA192" s="543"/>
      <c r="AB192" s="543"/>
      <c r="AC192" s="543"/>
      <c r="AD192" s="543"/>
      <c r="AE192" s="543"/>
      <c r="AF192" s="543"/>
      <c r="AG192" s="543"/>
      <c r="AH192" s="543"/>
      <c r="AI192" s="543"/>
      <c r="AJ192" s="543"/>
      <c r="AK192" s="543"/>
      <c r="AL192" s="543"/>
      <c r="AM192" s="544"/>
      <c r="AN192" s="537"/>
      <c r="AO192" s="538"/>
      <c r="AP192" s="538"/>
      <c r="AQ192" s="538"/>
      <c r="AR192" s="538"/>
      <c r="AS192" s="538"/>
      <c r="AT192" s="545"/>
    </row>
    <row r="193" spans="3:46" ht="15" customHeight="1" x14ac:dyDescent="0.2">
      <c r="C193" s="269" t="s">
        <v>781</v>
      </c>
      <c r="D193" s="497" t="s">
        <v>839</v>
      </c>
      <c r="E193" s="498"/>
      <c r="F193" s="495" t="s">
        <v>697</v>
      </c>
      <c r="G193" s="496"/>
      <c r="H193" s="369" t="s">
        <v>733</v>
      </c>
      <c r="I193" s="370" t="s">
        <v>734</v>
      </c>
      <c r="J193" s="369" t="s">
        <v>733</v>
      </c>
      <c r="K193" s="370" t="s">
        <v>734</v>
      </c>
      <c r="M193" s="269" t="s">
        <v>816</v>
      </c>
      <c r="N193" s="497" t="s">
        <v>839</v>
      </c>
      <c r="O193" s="498"/>
      <c r="P193" s="495" t="s">
        <v>697</v>
      </c>
      <c r="Q193" s="496"/>
      <c r="R193" s="369" t="s">
        <v>733</v>
      </c>
      <c r="S193" s="370" t="s">
        <v>734</v>
      </c>
      <c r="T193" s="369" t="s">
        <v>733</v>
      </c>
      <c r="U193" s="370" t="s">
        <v>734</v>
      </c>
      <c r="Z193" s="539" t="s">
        <v>724</v>
      </c>
      <c r="AA193" s="540"/>
      <c r="AB193" s="540"/>
      <c r="AC193" s="540"/>
      <c r="AD193" s="540"/>
      <c r="AE193" s="540"/>
      <c r="AF193" s="540"/>
      <c r="AG193" s="540"/>
      <c r="AH193" s="540"/>
      <c r="AI193" s="540"/>
      <c r="AJ193" s="540"/>
      <c r="AK193" s="540"/>
      <c r="AL193" s="540"/>
      <c r="AM193" s="541"/>
      <c r="AN193" s="537" t="s">
        <v>670</v>
      </c>
      <c r="AO193" s="538"/>
      <c r="AP193" s="538"/>
      <c r="AQ193" s="538" t="s">
        <v>690</v>
      </c>
      <c r="AR193" s="538" t="s">
        <v>671</v>
      </c>
      <c r="AS193" s="538"/>
      <c r="AT193" s="545"/>
    </row>
    <row r="194" spans="3:46" ht="15" customHeight="1" x14ac:dyDescent="0.2">
      <c r="C194" s="269" t="s">
        <v>782</v>
      </c>
      <c r="D194" s="497" t="s">
        <v>839</v>
      </c>
      <c r="E194" s="498"/>
      <c r="F194" s="495" t="s">
        <v>697</v>
      </c>
      <c r="G194" s="496"/>
      <c r="H194" s="369" t="s">
        <v>733</v>
      </c>
      <c r="I194" s="370" t="s">
        <v>734</v>
      </c>
      <c r="J194" s="369" t="s">
        <v>733</v>
      </c>
      <c r="K194" s="370" t="s">
        <v>734</v>
      </c>
      <c r="M194" s="269" t="s">
        <v>817</v>
      </c>
      <c r="N194" s="497" t="s">
        <v>839</v>
      </c>
      <c r="O194" s="498"/>
      <c r="P194" s="495" t="s">
        <v>697</v>
      </c>
      <c r="Q194" s="496"/>
      <c r="R194" s="369" t="s">
        <v>733</v>
      </c>
      <c r="S194" s="370" t="s">
        <v>734</v>
      </c>
      <c r="T194" s="369" t="s">
        <v>733</v>
      </c>
      <c r="U194" s="370" t="s">
        <v>734</v>
      </c>
      <c r="Z194" s="542"/>
      <c r="AA194" s="543"/>
      <c r="AB194" s="543"/>
      <c r="AC194" s="543"/>
      <c r="AD194" s="543"/>
      <c r="AE194" s="543"/>
      <c r="AF194" s="543"/>
      <c r="AG194" s="543"/>
      <c r="AH194" s="543"/>
      <c r="AI194" s="543"/>
      <c r="AJ194" s="543"/>
      <c r="AK194" s="543"/>
      <c r="AL194" s="543"/>
      <c r="AM194" s="544"/>
      <c r="AN194" s="537"/>
      <c r="AO194" s="538"/>
      <c r="AP194" s="538"/>
      <c r="AQ194" s="538"/>
      <c r="AR194" s="538"/>
      <c r="AS194" s="538"/>
      <c r="AT194" s="545"/>
    </row>
    <row r="195" spans="3:46" ht="15" customHeight="1" x14ac:dyDescent="0.2">
      <c r="C195" s="269" t="s">
        <v>783</v>
      </c>
      <c r="D195" s="497" t="s">
        <v>839</v>
      </c>
      <c r="E195" s="498"/>
      <c r="F195" s="495" t="s">
        <v>697</v>
      </c>
      <c r="G195" s="496"/>
      <c r="H195" s="369" t="s">
        <v>733</v>
      </c>
      <c r="I195" s="370" t="s">
        <v>734</v>
      </c>
      <c r="J195" s="369" t="s">
        <v>733</v>
      </c>
      <c r="K195" s="370" t="s">
        <v>734</v>
      </c>
      <c r="M195" s="269" t="s">
        <v>818</v>
      </c>
      <c r="N195" s="497" t="s">
        <v>839</v>
      </c>
      <c r="O195" s="498"/>
      <c r="P195" s="495" t="s">
        <v>697</v>
      </c>
      <c r="Q195" s="496"/>
      <c r="R195" s="369" t="s">
        <v>733</v>
      </c>
      <c r="S195" s="370" t="s">
        <v>734</v>
      </c>
      <c r="T195" s="369" t="s">
        <v>733</v>
      </c>
      <c r="U195" s="370" t="s">
        <v>734</v>
      </c>
      <c r="Z195" s="539" t="s">
        <v>725</v>
      </c>
      <c r="AA195" s="540"/>
      <c r="AB195" s="540"/>
      <c r="AC195" s="540"/>
      <c r="AD195" s="540"/>
      <c r="AE195" s="540"/>
      <c r="AF195" s="540"/>
      <c r="AG195" s="540"/>
      <c r="AH195" s="540"/>
      <c r="AI195" s="540"/>
      <c r="AJ195" s="540"/>
      <c r="AK195" s="540"/>
      <c r="AL195" s="540"/>
      <c r="AM195" s="541"/>
      <c r="AN195" s="537" t="s">
        <v>670</v>
      </c>
      <c r="AO195" s="538"/>
      <c r="AP195" s="538"/>
      <c r="AQ195" s="538" t="s">
        <v>690</v>
      </c>
      <c r="AR195" s="538" t="s">
        <v>671</v>
      </c>
      <c r="AS195" s="538"/>
      <c r="AT195" s="545"/>
    </row>
    <row r="196" spans="3:46" ht="15" customHeight="1" x14ac:dyDescent="0.2">
      <c r="C196" s="269" t="s">
        <v>784</v>
      </c>
      <c r="D196" s="497" t="s">
        <v>839</v>
      </c>
      <c r="E196" s="498"/>
      <c r="F196" s="495" t="s">
        <v>697</v>
      </c>
      <c r="G196" s="496"/>
      <c r="H196" s="369" t="s">
        <v>733</v>
      </c>
      <c r="I196" s="370" t="s">
        <v>734</v>
      </c>
      <c r="J196" s="369" t="s">
        <v>733</v>
      </c>
      <c r="K196" s="370" t="s">
        <v>734</v>
      </c>
      <c r="M196" s="269" t="s">
        <v>819</v>
      </c>
      <c r="N196" s="497" t="s">
        <v>839</v>
      </c>
      <c r="O196" s="498"/>
      <c r="P196" s="495" t="s">
        <v>697</v>
      </c>
      <c r="Q196" s="496"/>
      <c r="R196" s="369" t="s">
        <v>733</v>
      </c>
      <c r="S196" s="370" t="s">
        <v>734</v>
      </c>
      <c r="T196" s="369" t="s">
        <v>733</v>
      </c>
      <c r="U196" s="370" t="s">
        <v>734</v>
      </c>
      <c r="Z196" s="542"/>
      <c r="AA196" s="543"/>
      <c r="AB196" s="543"/>
      <c r="AC196" s="543"/>
      <c r="AD196" s="543"/>
      <c r="AE196" s="543"/>
      <c r="AF196" s="543"/>
      <c r="AG196" s="543"/>
      <c r="AH196" s="543"/>
      <c r="AI196" s="543"/>
      <c r="AJ196" s="543"/>
      <c r="AK196" s="543"/>
      <c r="AL196" s="543"/>
      <c r="AM196" s="544"/>
      <c r="AN196" s="537"/>
      <c r="AO196" s="538"/>
      <c r="AP196" s="538"/>
      <c r="AQ196" s="538"/>
      <c r="AR196" s="538"/>
      <c r="AS196" s="538"/>
      <c r="AT196" s="545"/>
    </row>
    <row r="197" spans="3:46" ht="15" customHeight="1" x14ac:dyDescent="0.2">
      <c r="C197" s="269" t="s">
        <v>785</v>
      </c>
      <c r="D197" s="497" t="s">
        <v>839</v>
      </c>
      <c r="E197" s="498"/>
      <c r="F197" s="495" t="s">
        <v>697</v>
      </c>
      <c r="G197" s="496"/>
      <c r="H197" s="369" t="s">
        <v>733</v>
      </c>
      <c r="I197" s="370" t="s">
        <v>734</v>
      </c>
      <c r="J197" s="369" t="s">
        <v>733</v>
      </c>
      <c r="K197" s="370" t="s">
        <v>734</v>
      </c>
      <c r="M197" s="269" t="s">
        <v>820</v>
      </c>
      <c r="N197" s="497" t="s">
        <v>839</v>
      </c>
      <c r="O197" s="498"/>
      <c r="P197" s="495" t="s">
        <v>697</v>
      </c>
      <c r="Q197" s="496"/>
      <c r="R197" s="369" t="s">
        <v>733</v>
      </c>
      <c r="S197" s="370" t="s">
        <v>734</v>
      </c>
      <c r="T197" s="369" t="s">
        <v>733</v>
      </c>
      <c r="U197" s="370" t="s">
        <v>734</v>
      </c>
      <c r="Z197" s="709" t="s">
        <v>730</v>
      </c>
      <c r="AA197" s="710"/>
      <c r="AB197" s="710"/>
      <c r="AC197" s="710"/>
      <c r="AD197" s="710"/>
      <c r="AE197" s="710"/>
      <c r="AF197" s="710"/>
      <c r="AG197" s="710"/>
      <c r="AH197" s="710"/>
      <c r="AI197" s="710"/>
      <c r="AJ197" s="710"/>
      <c r="AK197" s="710"/>
      <c r="AL197" s="710"/>
      <c r="AM197" s="710"/>
      <c r="AN197" s="710"/>
      <c r="AO197" s="710"/>
      <c r="AP197" s="710"/>
      <c r="AQ197" s="710"/>
      <c r="AR197" s="710"/>
      <c r="AS197" s="710"/>
      <c r="AT197" s="711"/>
    </row>
    <row r="198" spans="3:46" ht="15" customHeight="1" x14ac:dyDescent="0.2">
      <c r="C198" s="269" t="s">
        <v>786</v>
      </c>
      <c r="D198" s="497" t="s">
        <v>839</v>
      </c>
      <c r="E198" s="498"/>
      <c r="F198" s="495" t="s">
        <v>697</v>
      </c>
      <c r="G198" s="496"/>
      <c r="H198" s="369" t="s">
        <v>733</v>
      </c>
      <c r="I198" s="370" t="s">
        <v>734</v>
      </c>
      <c r="J198" s="369" t="s">
        <v>733</v>
      </c>
      <c r="K198" s="370" t="s">
        <v>734</v>
      </c>
      <c r="M198" s="269" t="s">
        <v>821</v>
      </c>
      <c r="N198" s="497" t="s">
        <v>839</v>
      </c>
      <c r="O198" s="498"/>
      <c r="P198" s="495" t="s">
        <v>697</v>
      </c>
      <c r="Q198" s="496"/>
      <c r="R198" s="369" t="s">
        <v>733</v>
      </c>
      <c r="S198" s="370" t="s">
        <v>734</v>
      </c>
      <c r="T198" s="369" t="s">
        <v>733</v>
      </c>
      <c r="U198" s="370" t="s">
        <v>734</v>
      </c>
      <c r="Z198" s="712"/>
      <c r="AA198" s="713"/>
      <c r="AB198" s="713"/>
      <c r="AC198" s="713"/>
      <c r="AD198" s="713"/>
      <c r="AE198" s="713"/>
      <c r="AF198" s="713"/>
      <c r="AG198" s="713"/>
      <c r="AH198" s="713"/>
      <c r="AI198" s="713"/>
      <c r="AJ198" s="713"/>
      <c r="AK198" s="713"/>
      <c r="AL198" s="713"/>
      <c r="AM198" s="713"/>
      <c r="AN198" s="713"/>
      <c r="AO198" s="713"/>
      <c r="AP198" s="713"/>
      <c r="AQ198" s="713"/>
      <c r="AR198" s="713"/>
      <c r="AS198" s="713"/>
      <c r="AT198" s="714"/>
    </row>
    <row r="199" spans="3:46" ht="15" customHeight="1" x14ac:dyDescent="0.2">
      <c r="C199" s="269" t="s">
        <v>787</v>
      </c>
      <c r="D199" s="497" t="s">
        <v>839</v>
      </c>
      <c r="E199" s="498"/>
      <c r="F199" s="495" t="s">
        <v>697</v>
      </c>
      <c r="G199" s="496"/>
      <c r="H199" s="369" t="s">
        <v>733</v>
      </c>
      <c r="I199" s="370" t="s">
        <v>734</v>
      </c>
      <c r="J199" s="369" t="s">
        <v>733</v>
      </c>
      <c r="K199" s="370" t="s">
        <v>734</v>
      </c>
      <c r="M199" s="269" t="s">
        <v>822</v>
      </c>
      <c r="N199" s="497" t="s">
        <v>839</v>
      </c>
      <c r="O199" s="498"/>
      <c r="P199" s="495" t="s">
        <v>697</v>
      </c>
      <c r="Q199" s="496"/>
      <c r="R199" s="369" t="s">
        <v>733</v>
      </c>
      <c r="S199" s="370" t="s">
        <v>734</v>
      </c>
      <c r="T199" s="369" t="s">
        <v>733</v>
      </c>
      <c r="U199" s="370" t="s">
        <v>734</v>
      </c>
      <c r="Z199" s="712"/>
      <c r="AA199" s="713"/>
      <c r="AB199" s="713"/>
      <c r="AC199" s="713"/>
      <c r="AD199" s="713"/>
      <c r="AE199" s="713"/>
      <c r="AF199" s="713"/>
      <c r="AG199" s="713"/>
      <c r="AH199" s="713"/>
      <c r="AI199" s="713"/>
      <c r="AJ199" s="713"/>
      <c r="AK199" s="713"/>
      <c r="AL199" s="713"/>
      <c r="AM199" s="713"/>
      <c r="AN199" s="713"/>
      <c r="AO199" s="713"/>
      <c r="AP199" s="713"/>
      <c r="AQ199" s="713"/>
      <c r="AR199" s="713"/>
      <c r="AS199" s="713"/>
      <c r="AT199" s="714"/>
    </row>
    <row r="200" spans="3:46" ht="15" customHeight="1" x14ac:dyDescent="0.2">
      <c r="C200" s="269" t="s">
        <v>788</v>
      </c>
      <c r="D200" s="497" t="s">
        <v>839</v>
      </c>
      <c r="E200" s="498"/>
      <c r="F200" s="495" t="s">
        <v>697</v>
      </c>
      <c r="G200" s="496"/>
      <c r="H200" s="369" t="s">
        <v>733</v>
      </c>
      <c r="I200" s="370" t="s">
        <v>734</v>
      </c>
      <c r="J200" s="369" t="s">
        <v>733</v>
      </c>
      <c r="K200" s="370" t="s">
        <v>734</v>
      </c>
      <c r="M200" s="269" t="s">
        <v>823</v>
      </c>
      <c r="N200" s="497" t="s">
        <v>839</v>
      </c>
      <c r="O200" s="498"/>
      <c r="P200" s="495" t="s">
        <v>697</v>
      </c>
      <c r="Q200" s="496"/>
      <c r="R200" s="369" t="s">
        <v>733</v>
      </c>
      <c r="S200" s="370" t="s">
        <v>734</v>
      </c>
      <c r="T200" s="369" t="s">
        <v>733</v>
      </c>
      <c r="U200" s="370" t="s">
        <v>734</v>
      </c>
      <c r="Z200" s="712"/>
      <c r="AA200" s="713"/>
      <c r="AB200" s="713"/>
      <c r="AC200" s="713"/>
      <c r="AD200" s="713"/>
      <c r="AE200" s="713"/>
      <c r="AF200" s="713"/>
      <c r="AG200" s="713"/>
      <c r="AH200" s="713"/>
      <c r="AI200" s="713"/>
      <c r="AJ200" s="713"/>
      <c r="AK200" s="713"/>
      <c r="AL200" s="713"/>
      <c r="AM200" s="713"/>
      <c r="AN200" s="713"/>
      <c r="AO200" s="713"/>
      <c r="AP200" s="713"/>
      <c r="AQ200" s="713"/>
      <c r="AR200" s="713"/>
      <c r="AS200" s="713"/>
      <c r="AT200" s="714"/>
    </row>
    <row r="201" spans="3:46" ht="15" customHeight="1" x14ac:dyDescent="0.2">
      <c r="C201" s="269" t="s">
        <v>789</v>
      </c>
      <c r="D201" s="497" t="s">
        <v>839</v>
      </c>
      <c r="E201" s="498"/>
      <c r="F201" s="495" t="s">
        <v>697</v>
      </c>
      <c r="G201" s="496"/>
      <c r="H201" s="369" t="s">
        <v>733</v>
      </c>
      <c r="I201" s="370" t="s">
        <v>734</v>
      </c>
      <c r="J201" s="369" t="s">
        <v>733</v>
      </c>
      <c r="K201" s="370" t="s">
        <v>734</v>
      </c>
      <c r="M201" s="269" t="s">
        <v>824</v>
      </c>
      <c r="N201" s="497" t="s">
        <v>839</v>
      </c>
      <c r="O201" s="498"/>
      <c r="P201" s="495" t="s">
        <v>697</v>
      </c>
      <c r="Q201" s="496"/>
      <c r="R201" s="369" t="s">
        <v>733</v>
      </c>
      <c r="S201" s="370" t="s">
        <v>734</v>
      </c>
      <c r="T201" s="369" t="s">
        <v>733</v>
      </c>
      <c r="U201" s="370" t="s">
        <v>734</v>
      </c>
      <c r="Z201" s="712"/>
      <c r="AA201" s="713"/>
      <c r="AB201" s="713"/>
      <c r="AC201" s="713"/>
      <c r="AD201" s="713"/>
      <c r="AE201" s="713"/>
      <c r="AF201" s="713"/>
      <c r="AG201" s="713"/>
      <c r="AH201" s="713"/>
      <c r="AI201" s="713"/>
      <c r="AJ201" s="713"/>
      <c r="AK201" s="713"/>
      <c r="AL201" s="713"/>
      <c r="AM201" s="713"/>
      <c r="AN201" s="713"/>
      <c r="AO201" s="713"/>
      <c r="AP201" s="713"/>
      <c r="AQ201" s="713"/>
      <c r="AR201" s="713"/>
      <c r="AS201" s="713"/>
      <c r="AT201" s="714"/>
    </row>
    <row r="202" spans="3:46" ht="15" customHeight="1" x14ac:dyDescent="0.2">
      <c r="C202" s="269" t="s">
        <v>790</v>
      </c>
      <c r="D202" s="497" t="s">
        <v>839</v>
      </c>
      <c r="E202" s="498"/>
      <c r="F202" s="495" t="s">
        <v>697</v>
      </c>
      <c r="G202" s="496"/>
      <c r="H202" s="369" t="s">
        <v>733</v>
      </c>
      <c r="I202" s="370" t="s">
        <v>734</v>
      </c>
      <c r="J202" s="369" t="s">
        <v>733</v>
      </c>
      <c r="K202" s="370" t="s">
        <v>734</v>
      </c>
      <c r="M202" s="269" t="s">
        <v>825</v>
      </c>
      <c r="N202" s="497" t="s">
        <v>839</v>
      </c>
      <c r="O202" s="498"/>
      <c r="P202" s="495" t="s">
        <v>697</v>
      </c>
      <c r="Q202" s="496"/>
      <c r="R202" s="369" t="s">
        <v>733</v>
      </c>
      <c r="S202" s="370" t="s">
        <v>734</v>
      </c>
      <c r="T202" s="369" t="s">
        <v>733</v>
      </c>
      <c r="U202" s="370" t="s">
        <v>734</v>
      </c>
      <c r="Z202" s="715"/>
      <c r="AA202" s="716"/>
      <c r="AB202" s="716"/>
      <c r="AC202" s="716"/>
      <c r="AD202" s="716"/>
      <c r="AE202" s="716"/>
      <c r="AF202" s="716"/>
      <c r="AG202" s="716"/>
      <c r="AH202" s="716"/>
      <c r="AI202" s="716"/>
      <c r="AJ202" s="716"/>
      <c r="AK202" s="716"/>
      <c r="AL202" s="716"/>
      <c r="AM202" s="716"/>
      <c r="AN202" s="716"/>
      <c r="AO202" s="716"/>
      <c r="AP202" s="716"/>
      <c r="AQ202" s="716"/>
      <c r="AR202" s="716"/>
      <c r="AS202" s="716"/>
      <c r="AT202" s="717"/>
    </row>
    <row r="203" spans="3:46" ht="15" customHeight="1" x14ac:dyDescent="0.2">
      <c r="C203" s="269" t="s">
        <v>791</v>
      </c>
      <c r="D203" s="497" t="s">
        <v>839</v>
      </c>
      <c r="E203" s="498"/>
      <c r="F203" s="495" t="s">
        <v>697</v>
      </c>
      <c r="G203" s="496"/>
      <c r="H203" s="369" t="s">
        <v>733</v>
      </c>
      <c r="I203" s="370" t="s">
        <v>734</v>
      </c>
      <c r="J203" s="369" t="s">
        <v>733</v>
      </c>
      <c r="K203" s="370" t="s">
        <v>734</v>
      </c>
      <c r="M203" s="269" t="s">
        <v>826</v>
      </c>
      <c r="N203" s="497" t="s">
        <v>839</v>
      </c>
      <c r="O203" s="498"/>
      <c r="P203" s="495" t="s">
        <v>697</v>
      </c>
      <c r="Q203" s="496"/>
      <c r="R203" s="369" t="s">
        <v>733</v>
      </c>
      <c r="S203" s="370" t="s">
        <v>734</v>
      </c>
      <c r="T203" s="369" t="s">
        <v>733</v>
      </c>
      <c r="U203" s="370" t="s">
        <v>734</v>
      </c>
    </row>
    <row r="204" spans="3:46" ht="15" customHeight="1" x14ac:dyDescent="0.2">
      <c r="C204" s="269" t="s">
        <v>792</v>
      </c>
      <c r="D204" s="497" t="s">
        <v>839</v>
      </c>
      <c r="E204" s="498"/>
      <c r="F204" s="495" t="s">
        <v>697</v>
      </c>
      <c r="G204" s="496"/>
      <c r="H204" s="369" t="s">
        <v>733</v>
      </c>
      <c r="I204" s="370" t="s">
        <v>734</v>
      </c>
      <c r="J204" s="369" t="s">
        <v>733</v>
      </c>
      <c r="K204" s="370" t="s">
        <v>734</v>
      </c>
      <c r="M204" s="269" t="s">
        <v>827</v>
      </c>
      <c r="N204" s="497" t="s">
        <v>839</v>
      </c>
      <c r="O204" s="498"/>
      <c r="P204" s="495" t="s">
        <v>697</v>
      </c>
      <c r="Q204" s="496"/>
      <c r="R204" s="369" t="s">
        <v>733</v>
      </c>
      <c r="S204" s="370" t="s">
        <v>734</v>
      </c>
      <c r="T204" s="369" t="s">
        <v>733</v>
      </c>
      <c r="U204" s="370" t="s">
        <v>734</v>
      </c>
      <c r="Z204" s="719" t="s">
        <v>726</v>
      </c>
      <c r="AA204" s="720"/>
      <c r="AB204" s="720"/>
      <c r="AC204" s="720"/>
      <c r="AD204" s="720"/>
      <c r="AE204" s="720"/>
      <c r="AF204" s="720"/>
      <c r="AG204" s="720"/>
      <c r="AH204" s="720"/>
      <c r="AI204" s="720"/>
      <c r="AJ204" s="720"/>
      <c r="AK204" s="720"/>
      <c r="AL204" s="720"/>
      <c r="AM204" s="720"/>
      <c r="AN204" s="720"/>
      <c r="AO204" s="720"/>
      <c r="AP204" s="720"/>
      <c r="AQ204" s="720"/>
      <c r="AR204" s="720"/>
      <c r="AS204" s="720"/>
      <c r="AT204" s="721"/>
    </row>
    <row r="205" spans="3:46" ht="15" customHeight="1" x14ac:dyDescent="0.2">
      <c r="C205" s="269" t="s">
        <v>793</v>
      </c>
      <c r="D205" s="497" t="s">
        <v>839</v>
      </c>
      <c r="E205" s="498"/>
      <c r="F205" s="495" t="s">
        <v>697</v>
      </c>
      <c r="G205" s="496"/>
      <c r="H205" s="369" t="s">
        <v>733</v>
      </c>
      <c r="I205" s="370" t="s">
        <v>734</v>
      </c>
      <c r="J205" s="369" t="s">
        <v>733</v>
      </c>
      <c r="K205" s="370" t="s">
        <v>734</v>
      </c>
      <c r="M205" s="269" t="s">
        <v>828</v>
      </c>
      <c r="N205" s="497" t="s">
        <v>839</v>
      </c>
      <c r="O205" s="498"/>
      <c r="P205" s="495" t="s">
        <v>697</v>
      </c>
      <c r="Q205" s="496"/>
      <c r="R205" s="369" t="s">
        <v>733</v>
      </c>
      <c r="S205" s="370" t="s">
        <v>734</v>
      </c>
      <c r="T205" s="369" t="s">
        <v>733</v>
      </c>
      <c r="U205" s="370" t="s">
        <v>734</v>
      </c>
      <c r="Z205" s="499" t="s">
        <v>716</v>
      </c>
      <c r="AA205" s="500"/>
      <c r="AB205" s="500"/>
      <c r="AC205" s="500"/>
      <c r="AD205" s="500"/>
      <c r="AE205" s="500"/>
      <c r="AF205" s="500"/>
      <c r="AG205" s="500"/>
      <c r="AH205" s="500"/>
      <c r="AI205" s="500"/>
      <c r="AJ205" s="500"/>
      <c r="AK205" s="500"/>
      <c r="AL205" s="500"/>
      <c r="AM205" s="501"/>
      <c r="AN205" s="562" t="s">
        <v>717</v>
      </c>
      <c r="AO205" s="562"/>
      <c r="AP205" s="562"/>
      <c r="AQ205" s="562"/>
      <c r="AR205" s="562"/>
      <c r="AS205" s="562"/>
      <c r="AT205" s="562"/>
    </row>
    <row r="206" spans="3:46" ht="15" customHeight="1" x14ac:dyDescent="0.2">
      <c r="C206" s="269" t="s">
        <v>794</v>
      </c>
      <c r="D206" s="497" t="s">
        <v>839</v>
      </c>
      <c r="E206" s="498"/>
      <c r="F206" s="495" t="s">
        <v>697</v>
      </c>
      <c r="G206" s="496"/>
      <c r="H206" s="369" t="s">
        <v>733</v>
      </c>
      <c r="I206" s="370" t="s">
        <v>734</v>
      </c>
      <c r="J206" s="369" t="s">
        <v>733</v>
      </c>
      <c r="K206" s="370" t="s">
        <v>734</v>
      </c>
      <c r="M206" s="269" t="s">
        <v>829</v>
      </c>
      <c r="N206" s="497" t="s">
        <v>839</v>
      </c>
      <c r="O206" s="498"/>
      <c r="P206" s="495" t="s">
        <v>697</v>
      </c>
      <c r="Q206" s="496"/>
      <c r="R206" s="369" t="s">
        <v>733</v>
      </c>
      <c r="S206" s="370" t="s">
        <v>734</v>
      </c>
      <c r="T206" s="369" t="s">
        <v>733</v>
      </c>
      <c r="U206" s="370" t="s">
        <v>734</v>
      </c>
      <c r="Z206" s="502"/>
      <c r="AA206" s="503"/>
      <c r="AB206" s="503"/>
      <c r="AC206" s="503"/>
      <c r="AD206" s="503"/>
      <c r="AE206" s="503"/>
      <c r="AF206" s="503"/>
      <c r="AG206" s="503"/>
      <c r="AH206" s="503"/>
      <c r="AI206" s="503"/>
      <c r="AJ206" s="503"/>
      <c r="AK206" s="503"/>
      <c r="AL206" s="503"/>
      <c r="AM206" s="504"/>
      <c r="AN206" s="562"/>
      <c r="AO206" s="562"/>
      <c r="AP206" s="562"/>
      <c r="AQ206" s="562"/>
      <c r="AR206" s="562"/>
      <c r="AS206" s="562"/>
      <c r="AT206" s="562"/>
    </row>
    <row r="207" spans="3:46" ht="15" customHeight="1" x14ac:dyDescent="0.2">
      <c r="C207" s="269" t="s">
        <v>795</v>
      </c>
      <c r="D207" s="497" t="s">
        <v>839</v>
      </c>
      <c r="E207" s="498"/>
      <c r="F207" s="495" t="s">
        <v>697</v>
      </c>
      <c r="G207" s="496"/>
      <c r="H207" s="369" t="s">
        <v>733</v>
      </c>
      <c r="I207" s="370" t="s">
        <v>734</v>
      </c>
      <c r="J207" s="369" t="s">
        <v>733</v>
      </c>
      <c r="K207" s="370" t="s">
        <v>734</v>
      </c>
      <c r="M207" s="269" t="s">
        <v>830</v>
      </c>
      <c r="N207" s="497" t="s">
        <v>839</v>
      </c>
      <c r="O207" s="498"/>
      <c r="P207" s="495" t="s">
        <v>697</v>
      </c>
      <c r="Q207" s="496"/>
      <c r="R207" s="369" t="s">
        <v>733</v>
      </c>
      <c r="S207" s="370" t="s">
        <v>734</v>
      </c>
      <c r="T207" s="369" t="s">
        <v>733</v>
      </c>
      <c r="U207" s="370" t="s">
        <v>734</v>
      </c>
      <c r="Z207" s="539" t="s">
        <v>727</v>
      </c>
      <c r="AA207" s="540"/>
      <c r="AB207" s="540"/>
      <c r="AC207" s="540"/>
      <c r="AD207" s="540"/>
      <c r="AE207" s="540"/>
      <c r="AF207" s="540"/>
      <c r="AG207" s="540"/>
      <c r="AH207" s="540"/>
      <c r="AI207" s="540"/>
      <c r="AJ207" s="540"/>
      <c r="AK207" s="540"/>
      <c r="AL207" s="540"/>
      <c r="AM207" s="541"/>
      <c r="AN207" s="537" t="s">
        <v>670</v>
      </c>
      <c r="AO207" s="538"/>
      <c r="AP207" s="538"/>
      <c r="AQ207" s="538" t="s">
        <v>690</v>
      </c>
      <c r="AR207" s="538" t="s">
        <v>671</v>
      </c>
      <c r="AS207" s="538"/>
      <c r="AT207" s="545"/>
    </row>
    <row r="208" spans="3:46" ht="15" customHeight="1" x14ac:dyDescent="0.2">
      <c r="C208" s="269" t="s">
        <v>796</v>
      </c>
      <c r="D208" s="497" t="s">
        <v>839</v>
      </c>
      <c r="E208" s="498"/>
      <c r="F208" s="495" t="s">
        <v>697</v>
      </c>
      <c r="G208" s="496"/>
      <c r="H208" s="369" t="s">
        <v>733</v>
      </c>
      <c r="I208" s="370" t="s">
        <v>734</v>
      </c>
      <c r="J208" s="369" t="s">
        <v>733</v>
      </c>
      <c r="K208" s="370" t="s">
        <v>734</v>
      </c>
      <c r="M208" s="269" t="s">
        <v>831</v>
      </c>
      <c r="N208" s="497" t="s">
        <v>839</v>
      </c>
      <c r="O208" s="498"/>
      <c r="P208" s="495" t="s">
        <v>697</v>
      </c>
      <c r="Q208" s="496"/>
      <c r="R208" s="369" t="s">
        <v>733</v>
      </c>
      <c r="S208" s="370" t="s">
        <v>734</v>
      </c>
      <c r="T208" s="369" t="s">
        <v>733</v>
      </c>
      <c r="U208" s="370" t="s">
        <v>734</v>
      </c>
      <c r="Z208" s="542"/>
      <c r="AA208" s="543"/>
      <c r="AB208" s="543"/>
      <c r="AC208" s="543"/>
      <c r="AD208" s="543"/>
      <c r="AE208" s="543"/>
      <c r="AF208" s="543"/>
      <c r="AG208" s="543"/>
      <c r="AH208" s="543"/>
      <c r="AI208" s="543"/>
      <c r="AJ208" s="543"/>
      <c r="AK208" s="543"/>
      <c r="AL208" s="543"/>
      <c r="AM208" s="544"/>
      <c r="AN208" s="537"/>
      <c r="AO208" s="538"/>
      <c r="AP208" s="538"/>
      <c r="AQ208" s="538"/>
      <c r="AR208" s="538"/>
      <c r="AS208" s="538"/>
      <c r="AT208" s="545"/>
    </row>
    <row r="209" spans="2:46" ht="15" customHeight="1" x14ac:dyDescent="0.2">
      <c r="C209" s="269" t="s">
        <v>797</v>
      </c>
      <c r="D209" s="497" t="s">
        <v>839</v>
      </c>
      <c r="E209" s="498"/>
      <c r="F209" s="495" t="s">
        <v>697</v>
      </c>
      <c r="G209" s="496"/>
      <c r="H209" s="369" t="s">
        <v>733</v>
      </c>
      <c r="I209" s="370" t="s">
        <v>734</v>
      </c>
      <c r="J209" s="369" t="s">
        <v>733</v>
      </c>
      <c r="K209" s="370" t="s">
        <v>734</v>
      </c>
      <c r="M209" s="269" t="s">
        <v>832</v>
      </c>
      <c r="N209" s="497" t="s">
        <v>839</v>
      </c>
      <c r="O209" s="498"/>
      <c r="P209" s="495" t="s">
        <v>697</v>
      </c>
      <c r="Q209" s="496"/>
      <c r="R209" s="369" t="s">
        <v>733</v>
      </c>
      <c r="S209" s="370" t="s">
        <v>734</v>
      </c>
      <c r="T209" s="369" t="s">
        <v>733</v>
      </c>
      <c r="U209" s="370" t="s">
        <v>734</v>
      </c>
      <c r="Z209" s="539" t="s">
        <v>740</v>
      </c>
      <c r="AA209" s="540"/>
      <c r="AB209" s="540"/>
      <c r="AC209" s="540"/>
      <c r="AD209" s="540"/>
      <c r="AE209" s="540"/>
      <c r="AF209" s="540"/>
      <c r="AG209" s="540"/>
      <c r="AH209" s="540"/>
      <c r="AI209" s="540"/>
      <c r="AJ209" s="540"/>
      <c r="AK209" s="540"/>
      <c r="AL209" s="540"/>
      <c r="AM209" s="541"/>
      <c r="AN209" s="537" t="s">
        <v>670</v>
      </c>
      <c r="AO209" s="538"/>
      <c r="AP209" s="538"/>
      <c r="AQ209" s="538" t="s">
        <v>690</v>
      </c>
      <c r="AR209" s="538" t="s">
        <v>671</v>
      </c>
      <c r="AS209" s="538"/>
      <c r="AT209" s="545"/>
    </row>
    <row r="210" spans="2:46" ht="15" customHeight="1" x14ac:dyDescent="0.2">
      <c r="C210" s="269" t="s">
        <v>798</v>
      </c>
      <c r="D210" s="497" t="s">
        <v>839</v>
      </c>
      <c r="E210" s="498"/>
      <c r="F210" s="495" t="s">
        <v>697</v>
      </c>
      <c r="G210" s="496"/>
      <c r="H210" s="369" t="s">
        <v>733</v>
      </c>
      <c r="I210" s="370" t="s">
        <v>734</v>
      </c>
      <c r="J210" s="369" t="s">
        <v>733</v>
      </c>
      <c r="K210" s="370" t="s">
        <v>734</v>
      </c>
      <c r="M210" s="269" t="s">
        <v>833</v>
      </c>
      <c r="N210" s="497" t="s">
        <v>839</v>
      </c>
      <c r="O210" s="498"/>
      <c r="P210" s="495" t="s">
        <v>697</v>
      </c>
      <c r="Q210" s="496"/>
      <c r="R210" s="369" t="s">
        <v>733</v>
      </c>
      <c r="S210" s="370" t="s">
        <v>734</v>
      </c>
      <c r="T210" s="369" t="s">
        <v>733</v>
      </c>
      <c r="U210" s="370" t="s">
        <v>734</v>
      </c>
      <c r="Z210" s="542"/>
      <c r="AA210" s="543"/>
      <c r="AB210" s="543"/>
      <c r="AC210" s="543"/>
      <c r="AD210" s="543"/>
      <c r="AE210" s="543"/>
      <c r="AF210" s="543"/>
      <c r="AG210" s="543"/>
      <c r="AH210" s="543"/>
      <c r="AI210" s="543"/>
      <c r="AJ210" s="543"/>
      <c r="AK210" s="543"/>
      <c r="AL210" s="543"/>
      <c r="AM210" s="544"/>
      <c r="AN210" s="537"/>
      <c r="AO210" s="538"/>
      <c r="AP210" s="538"/>
      <c r="AQ210" s="538"/>
      <c r="AR210" s="538"/>
      <c r="AS210" s="538"/>
      <c r="AT210" s="545"/>
    </row>
    <row r="211" spans="2:46" ht="15" customHeight="1" x14ac:dyDescent="0.2">
      <c r="C211" s="269" t="s">
        <v>799</v>
      </c>
      <c r="D211" s="497" t="s">
        <v>839</v>
      </c>
      <c r="E211" s="498"/>
      <c r="F211" s="495" t="s">
        <v>697</v>
      </c>
      <c r="G211" s="496"/>
      <c r="H211" s="369" t="s">
        <v>733</v>
      </c>
      <c r="I211" s="370" t="s">
        <v>734</v>
      </c>
      <c r="J211" s="369" t="s">
        <v>733</v>
      </c>
      <c r="K211" s="370" t="s">
        <v>734</v>
      </c>
      <c r="M211" s="269" t="s">
        <v>834</v>
      </c>
      <c r="N211" s="497" t="s">
        <v>839</v>
      </c>
      <c r="O211" s="498"/>
      <c r="P211" s="495" t="s">
        <v>697</v>
      </c>
      <c r="Q211" s="496"/>
      <c r="R211" s="369" t="s">
        <v>733</v>
      </c>
      <c r="S211" s="370" t="s">
        <v>734</v>
      </c>
      <c r="T211" s="369" t="s">
        <v>733</v>
      </c>
      <c r="U211" s="370" t="s">
        <v>734</v>
      </c>
      <c r="Z211" s="539" t="s">
        <v>728</v>
      </c>
      <c r="AA211" s="540"/>
      <c r="AB211" s="540"/>
      <c r="AC211" s="540"/>
      <c r="AD211" s="540"/>
      <c r="AE211" s="540"/>
      <c r="AF211" s="540"/>
      <c r="AG211" s="540"/>
      <c r="AH211" s="540"/>
      <c r="AI211" s="540"/>
      <c r="AJ211" s="540"/>
      <c r="AK211" s="540"/>
      <c r="AL211" s="540"/>
      <c r="AM211" s="541"/>
      <c r="AN211" s="537" t="s">
        <v>670</v>
      </c>
      <c r="AO211" s="538"/>
      <c r="AP211" s="538"/>
      <c r="AQ211" s="538" t="s">
        <v>690</v>
      </c>
      <c r="AR211" s="538" t="s">
        <v>671</v>
      </c>
      <c r="AS211" s="538"/>
      <c r="AT211" s="545"/>
    </row>
    <row r="212" spans="2:46" ht="15" customHeight="1" x14ac:dyDescent="0.2">
      <c r="C212" s="269" t="s">
        <v>800</v>
      </c>
      <c r="D212" s="497" t="s">
        <v>839</v>
      </c>
      <c r="E212" s="498"/>
      <c r="F212" s="495" t="s">
        <v>697</v>
      </c>
      <c r="G212" s="496"/>
      <c r="H212" s="369" t="s">
        <v>733</v>
      </c>
      <c r="I212" s="370" t="s">
        <v>734</v>
      </c>
      <c r="J212" s="369" t="s">
        <v>733</v>
      </c>
      <c r="K212" s="370" t="s">
        <v>734</v>
      </c>
      <c r="M212" s="269" t="s">
        <v>835</v>
      </c>
      <c r="N212" s="497" t="s">
        <v>839</v>
      </c>
      <c r="O212" s="498"/>
      <c r="P212" s="495" t="s">
        <v>697</v>
      </c>
      <c r="Q212" s="496"/>
      <c r="R212" s="369" t="s">
        <v>733</v>
      </c>
      <c r="S212" s="370" t="s">
        <v>734</v>
      </c>
      <c r="T212" s="369" t="s">
        <v>733</v>
      </c>
      <c r="U212" s="370" t="s">
        <v>734</v>
      </c>
      <c r="Z212" s="542"/>
      <c r="AA212" s="543"/>
      <c r="AB212" s="543"/>
      <c r="AC212" s="543"/>
      <c r="AD212" s="543"/>
      <c r="AE212" s="543"/>
      <c r="AF212" s="543"/>
      <c r="AG212" s="543"/>
      <c r="AH212" s="543"/>
      <c r="AI212" s="543"/>
      <c r="AJ212" s="543"/>
      <c r="AK212" s="543"/>
      <c r="AL212" s="543"/>
      <c r="AM212" s="544"/>
      <c r="AN212" s="537"/>
      <c r="AO212" s="538"/>
      <c r="AP212" s="538"/>
      <c r="AQ212" s="538"/>
      <c r="AR212" s="538"/>
      <c r="AS212" s="538"/>
      <c r="AT212" s="545"/>
    </row>
    <row r="213" spans="2:46" ht="15" customHeight="1" x14ac:dyDescent="0.2">
      <c r="C213" s="269" t="s">
        <v>801</v>
      </c>
      <c r="D213" s="497" t="s">
        <v>839</v>
      </c>
      <c r="E213" s="498"/>
      <c r="F213" s="495" t="s">
        <v>697</v>
      </c>
      <c r="G213" s="496"/>
      <c r="H213" s="369" t="s">
        <v>733</v>
      </c>
      <c r="I213" s="370" t="s">
        <v>734</v>
      </c>
      <c r="J213" s="369" t="s">
        <v>733</v>
      </c>
      <c r="K213" s="370" t="s">
        <v>734</v>
      </c>
      <c r="M213" s="269" t="s">
        <v>836</v>
      </c>
      <c r="N213" s="497" t="s">
        <v>839</v>
      </c>
      <c r="O213" s="498"/>
      <c r="P213" s="495" t="s">
        <v>697</v>
      </c>
      <c r="Q213" s="496"/>
      <c r="R213" s="369" t="s">
        <v>733</v>
      </c>
      <c r="S213" s="370" t="s">
        <v>734</v>
      </c>
      <c r="T213" s="369" t="s">
        <v>733</v>
      </c>
      <c r="U213" s="370" t="s">
        <v>734</v>
      </c>
      <c r="Z213" s="539" t="s">
        <v>890</v>
      </c>
      <c r="AA213" s="540"/>
      <c r="AB213" s="540"/>
      <c r="AC213" s="540"/>
      <c r="AD213" s="540"/>
      <c r="AE213" s="540"/>
      <c r="AF213" s="540"/>
      <c r="AG213" s="540"/>
      <c r="AH213" s="540"/>
      <c r="AI213" s="540"/>
      <c r="AJ213" s="540"/>
      <c r="AK213" s="540"/>
      <c r="AL213" s="540"/>
      <c r="AM213" s="541"/>
      <c r="AN213" s="537" t="s">
        <v>670</v>
      </c>
      <c r="AO213" s="538"/>
      <c r="AP213" s="538"/>
      <c r="AQ213" s="538" t="s">
        <v>690</v>
      </c>
      <c r="AR213" s="538" t="s">
        <v>671</v>
      </c>
      <c r="AS213" s="538"/>
      <c r="AT213" s="545"/>
    </row>
    <row r="214" spans="2:46" ht="15" customHeight="1" x14ac:dyDescent="0.2">
      <c r="C214" s="269" t="s">
        <v>802</v>
      </c>
      <c r="D214" s="497" t="s">
        <v>839</v>
      </c>
      <c r="E214" s="498"/>
      <c r="F214" s="495" t="s">
        <v>697</v>
      </c>
      <c r="G214" s="496"/>
      <c r="H214" s="369" t="s">
        <v>733</v>
      </c>
      <c r="I214" s="370" t="s">
        <v>734</v>
      </c>
      <c r="J214" s="369" t="s">
        <v>733</v>
      </c>
      <c r="K214" s="370" t="s">
        <v>734</v>
      </c>
      <c r="M214" s="269" t="s">
        <v>837</v>
      </c>
      <c r="N214" s="497" t="s">
        <v>839</v>
      </c>
      <c r="O214" s="498"/>
      <c r="P214" s="495" t="s">
        <v>697</v>
      </c>
      <c r="Q214" s="496"/>
      <c r="R214" s="369" t="s">
        <v>733</v>
      </c>
      <c r="S214" s="370" t="s">
        <v>734</v>
      </c>
      <c r="T214" s="369" t="s">
        <v>733</v>
      </c>
      <c r="U214" s="370" t="s">
        <v>734</v>
      </c>
      <c r="Z214" s="542"/>
      <c r="AA214" s="543"/>
      <c r="AB214" s="543"/>
      <c r="AC214" s="543"/>
      <c r="AD214" s="543"/>
      <c r="AE214" s="543"/>
      <c r="AF214" s="543"/>
      <c r="AG214" s="543"/>
      <c r="AH214" s="543"/>
      <c r="AI214" s="543"/>
      <c r="AJ214" s="543"/>
      <c r="AK214" s="543"/>
      <c r="AL214" s="543"/>
      <c r="AM214" s="544"/>
      <c r="AN214" s="537"/>
      <c r="AO214" s="538"/>
      <c r="AP214" s="538"/>
      <c r="AQ214" s="538"/>
      <c r="AR214" s="538"/>
      <c r="AS214" s="538"/>
      <c r="AT214" s="545"/>
    </row>
    <row r="215" spans="2:46" ht="15" customHeight="1" x14ac:dyDescent="0.2">
      <c r="C215" s="269" t="s">
        <v>803</v>
      </c>
      <c r="D215" s="497" t="s">
        <v>839</v>
      </c>
      <c r="E215" s="498"/>
      <c r="F215" s="495" t="s">
        <v>697</v>
      </c>
      <c r="G215" s="496"/>
      <c r="H215" s="369" t="s">
        <v>733</v>
      </c>
      <c r="I215" s="370" t="s">
        <v>734</v>
      </c>
      <c r="J215" s="369" t="s">
        <v>733</v>
      </c>
      <c r="K215" s="370" t="s">
        <v>734</v>
      </c>
      <c r="M215" s="269" t="s">
        <v>838</v>
      </c>
      <c r="N215" s="497" t="s">
        <v>839</v>
      </c>
      <c r="O215" s="498"/>
      <c r="P215" s="495" t="s">
        <v>697</v>
      </c>
      <c r="Q215" s="496"/>
      <c r="R215" s="369" t="s">
        <v>733</v>
      </c>
      <c r="S215" s="370" t="s">
        <v>734</v>
      </c>
      <c r="T215" s="369" t="s">
        <v>733</v>
      </c>
      <c r="U215" s="370" t="s">
        <v>734</v>
      </c>
      <c r="Z215" s="539" t="s">
        <v>729</v>
      </c>
      <c r="AA215" s="540"/>
      <c r="AB215" s="540"/>
      <c r="AC215" s="540"/>
      <c r="AD215" s="540"/>
      <c r="AE215" s="540"/>
      <c r="AF215" s="540"/>
      <c r="AG215" s="540"/>
      <c r="AH215" s="540"/>
      <c r="AI215" s="540"/>
      <c r="AJ215" s="540"/>
      <c r="AK215" s="540"/>
      <c r="AL215" s="540"/>
      <c r="AM215" s="541"/>
      <c r="AN215" s="516" t="s">
        <v>670</v>
      </c>
      <c r="AO215" s="517"/>
      <c r="AP215" s="517"/>
      <c r="AQ215" s="517" t="s">
        <v>690</v>
      </c>
      <c r="AR215" s="517" t="s">
        <v>671</v>
      </c>
      <c r="AS215" s="517"/>
      <c r="AT215" s="518"/>
    </row>
    <row r="216" spans="2:46" ht="15" customHeight="1" x14ac:dyDescent="0.2">
      <c r="B216" s="718" t="s">
        <v>860</v>
      </c>
      <c r="C216" s="718"/>
      <c r="D216" s="718"/>
      <c r="E216" s="718"/>
      <c r="F216" s="718"/>
      <c r="G216" s="718"/>
      <c r="H216" s="718"/>
      <c r="I216" s="718"/>
      <c r="J216" s="718"/>
      <c r="K216" s="718"/>
      <c r="L216" s="718"/>
      <c r="M216" s="718"/>
      <c r="N216" s="718"/>
      <c r="O216" s="718"/>
      <c r="P216" s="718"/>
      <c r="Q216" s="718"/>
      <c r="R216" s="718"/>
      <c r="S216" s="718"/>
      <c r="T216" s="718"/>
      <c r="U216" s="718"/>
      <c r="V216" s="718"/>
      <c r="Z216" s="542"/>
      <c r="AA216" s="543"/>
      <c r="AB216" s="543"/>
      <c r="AC216" s="543"/>
      <c r="AD216" s="543"/>
      <c r="AE216" s="543"/>
      <c r="AF216" s="543"/>
      <c r="AG216" s="543"/>
      <c r="AH216" s="543"/>
      <c r="AI216" s="543"/>
      <c r="AJ216" s="543"/>
      <c r="AK216" s="543"/>
      <c r="AL216" s="543"/>
      <c r="AM216" s="544"/>
      <c r="AN216" s="519"/>
      <c r="AO216" s="520"/>
      <c r="AP216" s="520"/>
      <c r="AQ216" s="520"/>
      <c r="AR216" s="520"/>
      <c r="AS216" s="520"/>
      <c r="AT216" s="521"/>
    </row>
    <row r="217" spans="2:46" ht="15" customHeight="1" x14ac:dyDescent="0.2">
      <c r="B217" s="333"/>
      <c r="C217" s="333"/>
      <c r="D217" s="333"/>
      <c r="E217" s="333"/>
      <c r="F217" s="333"/>
      <c r="G217" s="333"/>
      <c r="H217" s="333"/>
      <c r="I217" s="333"/>
      <c r="J217" s="333"/>
      <c r="K217" s="333"/>
      <c r="L217" s="333"/>
      <c r="M217" s="333"/>
      <c r="N217" s="333"/>
      <c r="O217" s="333"/>
      <c r="P217" s="333"/>
      <c r="Q217" s="333"/>
      <c r="R217" s="333"/>
      <c r="S217" s="333"/>
      <c r="T217" s="333"/>
      <c r="U217" s="333"/>
      <c r="V217" s="333"/>
      <c r="Z217" s="539" t="s">
        <v>741</v>
      </c>
      <c r="AA217" s="540"/>
      <c r="AB217" s="540"/>
      <c r="AC217" s="540"/>
      <c r="AD217" s="540"/>
      <c r="AE217" s="540"/>
      <c r="AF217" s="540"/>
      <c r="AG217" s="540"/>
      <c r="AH217" s="540"/>
      <c r="AI217" s="540"/>
      <c r="AJ217" s="540"/>
      <c r="AK217" s="540"/>
      <c r="AL217" s="540"/>
      <c r="AM217" s="541"/>
      <c r="AN217" s="537" t="s">
        <v>670</v>
      </c>
      <c r="AO217" s="538"/>
      <c r="AP217" s="538"/>
      <c r="AQ217" s="538" t="s">
        <v>690</v>
      </c>
      <c r="AR217" s="538" t="s">
        <v>671</v>
      </c>
      <c r="AS217" s="538"/>
      <c r="AT217" s="545"/>
    </row>
    <row r="218" spans="2:46" ht="15" customHeight="1" x14ac:dyDescent="0.2">
      <c r="B218" s="334"/>
      <c r="C218" s="334"/>
      <c r="D218" s="334"/>
      <c r="E218" s="334"/>
      <c r="F218" s="334"/>
      <c r="G218" s="334"/>
      <c r="H218" s="334"/>
      <c r="I218" s="334"/>
      <c r="J218" s="334"/>
      <c r="K218" s="334"/>
      <c r="L218" s="334"/>
      <c r="M218" s="334"/>
      <c r="N218" s="334"/>
      <c r="O218" s="334"/>
      <c r="P218" s="334"/>
      <c r="Q218" s="334"/>
      <c r="R218" s="334"/>
      <c r="S218" s="334"/>
      <c r="T218" s="334"/>
      <c r="U218" s="334"/>
      <c r="V218" s="334"/>
      <c r="Z218" s="542"/>
      <c r="AA218" s="543"/>
      <c r="AB218" s="543"/>
      <c r="AC218" s="543"/>
      <c r="AD218" s="543"/>
      <c r="AE218" s="543"/>
      <c r="AF218" s="543"/>
      <c r="AG218" s="543"/>
      <c r="AH218" s="543"/>
      <c r="AI218" s="543"/>
      <c r="AJ218" s="543"/>
      <c r="AK218" s="543"/>
      <c r="AL218" s="543"/>
      <c r="AM218" s="544"/>
      <c r="AN218" s="537"/>
      <c r="AO218" s="538"/>
      <c r="AP218" s="538"/>
      <c r="AQ218" s="538"/>
      <c r="AR218" s="538"/>
      <c r="AS218" s="538"/>
      <c r="AT218" s="545"/>
    </row>
    <row r="219" spans="2:46" ht="15" customHeight="1" x14ac:dyDescent="0.2">
      <c r="B219" s="709" t="s">
        <v>730</v>
      </c>
      <c r="C219" s="710"/>
      <c r="D219" s="710"/>
      <c r="E219" s="710"/>
      <c r="F219" s="710"/>
      <c r="G219" s="710"/>
      <c r="H219" s="710"/>
      <c r="I219" s="710"/>
      <c r="J219" s="710"/>
      <c r="K219" s="710"/>
      <c r="L219" s="710"/>
      <c r="M219" s="710"/>
      <c r="N219" s="710"/>
      <c r="O219" s="710"/>
      <c r="P219" s="710"/>
      <c r="Q219" s="710"/>
      <c r="R219" s="710"/>
      <c r="S219" s="710"/>
      <c r="T219" s="710"/>
      <c r="U219" s="710"/>
      <c r="V219" s="711"/>
      <c r="Z219" s="539" t="s">
        <v>766</v>
      </c>
      <c r="AA219" s="540"/>
      <c r="AB219" s="540"/>
      <c r="AC219" s="540"/>
      <c r="AD219" s="540"/>
      <c r="AE219" s="540"/>
      <c r="AF219" s="540"/>
      <c r="AG219" s="540"/>
      <c r="AH219" s="540"/>
      <c r="AI219" s="540"/>
      <c r="AJ219" s="540"/>
      <c r="AK219" s="540"/>
      <c r="AL219" s="540"/>
      <c r="AM219" s="541"/>
      <c r="AN219" s="537" t="s">
        <v>670</v>
      </c>
      <c r="AO219" s="538"/>
      <c r="AP219" s="538"/>
      <c r="AQ219" s="538"/>
      <c r="AR219" s="538"/>
      <c r="AS219" s="538"/>
      <c r="AT219" s="545"/>
    </row>
    <row r="220" spans="2:46" ht="15" customHeight="1" x14ac:dyDescent="0.2">
      <c r="B220" s="712"/>
      <c r="C220" s="713"/>
      <c r="D220" s="713"/>
      <c r="E220" s="713"/>
      <c r="F220" s="713"/>
      <c r="G220" s="713"/>
      <c r="H220" s="713"/>
      <c r="I220" s="713"/>
      <c r="J220" s="713"/>
      <c r="K220" s="713"/>
      <c r="L220" s="713"/>
      <c r="M220" s="713"/>
      <c r="N220" s="713"/>
      <c r="O220" s="713"/>
      <c r="P220" s="713"/>
      <c r="Q220" s="713"/>
      <c r="R220" s="713"/>
      <c r="S220" s="713"/>
      <c r="T220" s="713"/>
      <c r="U220" s="713"/>
      <c r="V220" s="714"/>
      <c r="Z220" s="542"/>
      <c r="AA220" s="543"/>
      <c r="AB220" s="543"/>
      <c r="AC220" s="543"/>
      <c r="AD220" s="543"/>
      <c r="AE220" s="543"/>
      <c r="AF220" s="543"/>
      <c r="AG220" s="543"/>
      <c r="AH220" s="543"/>
      <c r="AI220" s="543"/>
      <c r="AJ220" s="543"/>
      <c r="AK220" s="543"/>
      <c r="AL220" s="543"/>
      <c r="AM220" s="544"/>
      <c r="AN220" s="537"/>
      <c r="AO220" s="538"/>
      <c r="AP220" s="538"/>
      <c r="AQ220" s="538"/>
      <c r="AR220" s="538"/>
      <c r="AS220" s="538"/>
      <c r="AT220" s="545"/>
    </row>
    <row r="221" spans="2:46" ht="15" customHeight="1" x14ac:dyDescent="0.2">
      <c r="B221" s="712"/>
      <c r="C221" s="713"/>
      <c r="D221" s="713"/>
      <c r="E221" s="713"/>
      <c r="F221" s="713"/>
      <c r="G221" s="713"/>
      <c r="H221" s="713"/>
      <c r="I221" s="713"/>
      <c r="J221" s="713"/>
      <c r="K221" s="713"/>
      <c r="L221" s="713"/>
      <c r="M221" s="713"/>
      <c r="N221" s="713"/>
      <c r="O221" s="713"/>
      <c r="P221" s="713"/>
      <c r="Q221" s="713"/>
      <c r="R221" s="713"/>
      <c r="S221" s="713"/>
      <c r="T221" s="713"/>
      <c r="U221" s="713"/>
      <c r="V221" s="714"/>
      <c r="Z221" s="709" t="s">
        <v>730</v>
      </c>
      <c r="AA221" s="710"/>
      <c r="AB221" s="710"/>
      <c r="AC221" s="710"/>
      <c r="AD221" s="710"/>
      <c r="AE221" s="710"/>
      <c r="AF221" s="710"/>
      <c r="AG221" s="710"/>
      <c r="AH221" s="710"/>
      <c r="AI221" s="710"/>
      <c r="AJ221" s="710"/>
      <c r="AK221" s="710"/>
      <c r="AL221" s="710"/>
      <c r="AM221" s="710"/>
      <c r="AN221" s="710"/>
      <c r="AO221" s="710"/>
      <c r="AP221" s="710"/>
      <c r="AQ221" s="710"/>
      <c r="AR221" s="710"/>
      <c r="AS221" s="710"/>
      <c r="AT221" s="711"/>
    </row>
    <row r="222" spans="2:46" ht="15" customHeight="1" x14ac:dyDescent="0.2">
      <c r="B222" s="712"/>
      <c r="C222" s="713"/>
      <c r="D222" s="713"/>
      <c r="E222" s="713"/>
      <c r="F222" s="713"/>
      <c r="G222" s="713"/>
      <c r="H222" s="713"/>
      <c r="I222" s="713"/>
      <c r="J222" s="713"/>
      <c r="K222" s="713"/>
      <c r="L222" s="713"/>
      <c r="M222" s="713"/>
      <c r="N222" s="713"/>
      <c r="O222" s="713"/>
      <c r="P222" s="713"/>
      <c r="Q222" s="713"/>
      <c r="R222" s="713"/>
      <c r="S222" s="713"/>
      <c r="T222" s="713"/>
      <c r="U222" s="713"/>
      <c r="V222" s="714"/>
      <c r="Z222" s="712"/>
      <c r="AA222" s="713"/>
      <c r="AB222" s="713"/>
      <c r="AC222" s="713"/>
      <c r="AD222" s="713"/>
      <c r="AE222" s="713"/>
      <c r="AF222" s="713"/>
      <c r="AG222" s="713"/>
      <c r="AH222" s="713"/>
      <c r="AI222" s="713"/>
      <c r="AJ222" s="713"/>
      <c r="AK222" s="713"/>
      <c r="AL222" s="713"/>
      <c r="AM222" s="713"/>
      <c r="AN222" s="713"/>
      <c r="AO222" s="713"/>
      <c r="AP222" s="713"/>
      <c r="AQ222" s="713"/>
      <c r="AR222" s="713"/>
      <c r="AS222" s="713"/>
      <c r="AT222" s="714"/>
    </row>
    <row r="223" spans="2:46" ht="15" customHeight="1" x14ac:dyDescent="0.2">
      <c r="B223" s="712"/>
      <c r="C223" s="713"/>
      <c r="D223" s="713"/>
      <c r="E223" s="713"/>
      <c r="F223" s="713"/>
      <c r="G223" s="713"/>
      <c r="H223" s="713"/>
      <c r="I223" s="713"/>
      <c r="J223" s="713"/>
      <c r="K223" s="713"/>
      <c r="L223" s="713"/>
      <c r="M223" s="713"/>
      <c r="N223" s="713"/>
      <c r="O223" s="713"/>
      <c r="P223" s="713"/>
      <c r="Q223" s="713"/>
      <c r="R223" s="713"/>
      <c r="S223" s="713"/>
      <c r="T223" s="713"/>
      <c r="U223" s="713"/>
      <c r="V223" s="714"/>
      <c r="Z223" s="712"/>
      <c r="AA223" s="713"/>
      <c r="AB223" s="713"/>
      <c r="AC223" s="713"/>
      <c r="AD223" s="713"/>
      <c r="AE223" s="713"/>
      <c r="AF223" s="713"/>
      <c r="AG223" s="713"/>
      <c r="AH223" s="713"/>
      <c r="AI223" s="713"/>
      <c r="AJ223" s="713"/>
      <c r="AK223" s="713"/>
      <c r="AL223" s="713"/>
      <c r="AM223" s="713"/>
      <c r="AN223" s="713"/>
      <c r="AO223" s="713"/>
      <c r="AP223" s="713"/>
      <c r="AQ223" s="713"/>
      <c r="AR223" s="713"/>
      <c r="AS223" s="713"/>
      <c r="AT223" s="714"/>
    </row>
    <row r="224" spans="2:46" ht="15" customHeight="1" x14ac:dyDescent="0.2">
      <c r="B224" s="712"/>
      <c r="C224" s="713"/>
      <c r="D224" s="713"/>
      <c r="E224" s="713"/>
      <c r="F224" s="713"/>
      <c r="G224" s="713"/>
      <c r="H224" s="713"/>
      <c r="I224" s="713"/>
      <c r="J224" s="713"/>
      <c r="K224" s="713"/>
      <c r="L224" s="713"/>
      <c r="M224" s="713"/>
      <c r="N224" s="713"/>
      <c r="O224" s="713"/>
      <c r="P224" s="713"/>
      <c r="Q224" s="713"/>
      <c r="R224" s="713"/>
      <c r="S224" s="713"/>
      <c r="T224" s="713"/>
      <c r="U224" s="713"/>
      <c r="V224" s="714"/>
      <c r="Z224" s="712"/>
      <c r="AA224" s="713"/>
      <c r="AB224" s="713"/>
      <c r="AC224" s="713"/>
      <c r="AD224" s="713"/>
      <c r="AE224" s="713"/>
      <c r="AF224" s="713"/>
      <c r="AG224" s="713"/>
      <c r="AH224" s="713"/>
      <c r="AI224" s="713"/>
      <c r="AJ224" s="713"/>
      <c r="AK224" s="713"/>
      <c r="AL224" s="713"/>
      <c r="AM224" s="713"/>
      <c r="AN224" s="713"/>
      <c r="AO224" s="713"/>
      <c r="AP224" s="713"/>
      <c r="AQ224" s="713"/>
      <c r="AR224" s="713"/>
      <c r="AS224" s="713"/>
      <c r="AT224" s="714"/>
    </row>
    <row r="225" spans="2:46" ht="15" customHeight="1" x14ac:dyDescent="0.2">
      <c r="B225" s="712"/>
      <c r="C225" s="713"/>
      <c r="D225" s="713"/>
      <c r="E225" s="713"/>
      <c r="F225" s="713"/>
      <c r="G225" s="713"/>
      <c r="H225" s="713"/>
      <c r="I225" s="713"/>
      <c r="J225" s="713"/>
      <c r="K225" s="713"/>
      <c r="L225" s="713"/>
      <c r="M225" s="713"/>
      <c r="N225" s="713"/>
      <c r="O225" s="713"/>
      <c r="P225" s="713"/>
      <c r="Q225" s="713"/>
      <c r="R225" s="713"/>
      <c r="S225" s="713"/>
      <c r="T225" s="713"/>
      <c r="U225" s="713"/>
      <c r="V225" s="714"/>
      <c r="Z225" s="712"/>
      <c r="AA225" s="713"/>
      <c r="AB225" s="713"/>
      <c r="AC225" s="713"/>
      <c r="AD225" s="713"/>
      <c r="AE225" s="713"/>
      <c r="AF225" s="713"/>
      <c r="AG225" s="713"/>
      <c r="AH225" s="713"/>
      <c r="AI225" s="713"/>
      <c r="AJ225" s="713"/>
      <c r="AK225" s="713"/>
      <c r="AL225" s="713"/>
      <c r="AM225" s="713"/>
      <c r="AN225" s="713"/>
      <c r="AO225" s="713"/>
      <c r="AP225" s="713"/>
      <c r="AQ225" s="713"/>
      <c r="AR225" s="713"/>
      <c r="AS225" s="713"/>
      <c r="AT225" s="714"/>
    </row>
    <row r="226" spans="2:46" ht="15" customHeight="1" x14ac:dyDescent="0.2">
      <c r="B226" s="715"/>
      <c r="C226" s="716"/>
      <c r="D226" s="716"/>
      <c r="E226" s="716"/>
      <c r="F226" s="716"/>
      <c r="G226" s="716"/>
      <c r="H226" s="716"/>
      <c r="I226" s="716"/>
      <c r="J226" s="716"/>
      <c r="K226" s="716"/>
      <c r="L226" s="716"/>
      <c r="M226" s="716"/>
      <c r="N226" s="716"/>
      <c r="O226" s="716"/>
      <c r="P226" s="716"/>
      <c r="Q226" s="716"/>
      <c r="R226" s="716"/>
      <c r="S226" s="716"/>
      <c r="T226" s="716"/>
      <c r="U226" s="716"/>
      <c r="V226" s="717"/>
      <c r="Z226" s="715"/>
      <c r="AA226" s="716"/>
      <c r="AB226" s="716"/>
      <c r="AC226" s="716"/>
      <c r="AD226" s="716"/>
      <c r="AE226" s="716"/>
      <c r="AF226" s="716"/>
      <c r="AG226" s="716"/>
      <c r="AH226" s="716"/>
      <c r="AI226" s="716"/>
      <c r="AJ226" s="716"/>
      <c r="AK226" s="716"/>
      <c r="AL226" s="716"/>
      <c r="AM226" s="716"/>
      <c r="AN226" s="716"/>
      <c r="AO226" s="716"/>
      <c r="AP226" s="716"/>
      <c r="AQ226" s="716"/>
      <c r="AR226" s="716"/>
      <c r="AS226" s="716"/>
      <c r="AT226" s="717"/>
    </row>
    <row r="227" spans="2:46" ht="15" customHeight="1" x14ac:dyDescent="0.2">
      <c r="B227" s="258"/>
      <c r="C227" s="258"/>
      <c r="D227" s="258"/>
      <c r="E227" s="258"/>
      <c r="F227" s="258"/>
      <c r="G227" s="258"/>
      <c r="H227" s="258"/>
      <c r="I227" s="258"/>
      <c r="J227" s="258"/>
      <c r="K227" s="258"/>
      <c r="L227" s="258"/>
      <c r="M227" s="258"/>
      <c r="N227" s="258"/>
      <c r="O227" s="258"/>
      <c r="P227" s="258"/>
      <c r="Q227" s="258"/>
      <c r="R227" s="258"/>
      <c r="S227" s="258"/>
      <c r="T227" s="258"/>
      <c r="U227" s="258"/>
      <c r="V227" s="258"/>
      <c r="Z227" s="258"/>
      <c r="AA227" s="258"/>
      <c r="AB227" s="258"/>
      <c r="AC227" s="258"/>
      <c r="AD227" s="258"/>
      <c r="AE227" s="258"/>
      <c r="AF227" s="258"/>
      <c r="AG227" s="258"/>
      <c r="AH227" s="258"/>
      <c r="AI227" s="258"/>
      <c r="AJ227" s="258"/>
      <c r="AK227" s="258"/>
      <c r="AL227" s="258"/>
      <c r="AM227" s="258"/>
      <c r="AN227" s="258"/>
      <c r="AO227" s="258"/>
      <c r="AP227" s="258"/>
      <c r="AQ227" s="258"/>
      <c r="AR227" s="258"/>
      <c r="AS227" s="258"/>
      <c r="AT227" s="258"/>
    </row>
    <row r="228" spans="2:46" ht="15" customHeight="1" x14ac:dyDescent="0.2">
      <c r="AM228" s="293"/>
    </row>
    <row r="229" spans="2:46" ht="15" customHeight="1" x14ac:dyDescent="0.2">
      <c r="AM229" s="293"/>
    </row>
    <row r="230" spans="2:46" ht="15" customHeight="1" x14ac:dyDescent="0.2">
      <c r="AM230" s="293"/>
    </row>
    <row r="231" spans="2:46" ht="15" customHeight="1" x14ac:dyDescent="0.2">
      <c r="AL231" s="292"/>
      <c r="AM231" s="293"/>
    </row>
    <row r="232" spans="2:46" ht="15" customHeight="1" x14ac:dyDescent="0.2">
      <c r="AM232" s="293"/>
    </row>
    <row r="233" spans="2:46" ht="15" customHeight="1" x14ac:dyDescent="0.2">
      <c r="AM233" s="293"/>
    </row>
    <row r="234" spans="2:46" ht="15" customHeight="1" x14ac:dyDescent="0.2">
      <c r="AM234" s="293"/>
    </row>
    <row r="235" spans="2:46" ht="15" customHeight="1" x14ac:dyDescent="0.2">
      <c r="AM235" s="293"/>
    </row>
    <row r="236" spans="2:46" ht="15" customHeight="1" x14ac:dyDescent="0.2">
      <c r="AM236" s="293"/>
    </row>
    <row r="237" spans="2:46" ht="15" customHeight="1" x14ac:dyDescent="0.2">
      <c r="AM237" s="293"/>
    </row>
    <row r="238" spans="2:46" ht="15" customHeight="1" x14ac:dyDescent="0.2">
      <c r="AM238" s="293"/>
    </row>
    <row r="239" spans="2:46" ht="15" customHeight="1" x14ac:dyDescent="0.2">
      <c r="AM239" s="293"/>
    </row>
    <row r="240" spans="2:46" ht="15" customHeight="1" x14ac:dyDescent="0.2">
      <c r="AM240" s="293"/>
    </row>
    <row r="241" spans="25:39" ht="15" customHeight="1" x14ac:dyDescent="0.2">
      <c r="AM241" s="293"/>
    </row>
    <row r="242" spans="25:39" ht="15" customHeight="1" x14ac:dyDescent="0.2">
      <c r="AM242" s="293"/>
    </row>
    <row r="243" spans="25:39" ht="15" customHeight="1" x14ac:dyDescent="0.2">
      <c r="AM243" s="293"/>
    </row>
    <row r="244" spans="25:39" ht="15" customHeight="1" x14ac:dyDescent="0.2">
      <c r="Y244" s="259"/>
      <c r="AM244" s="293"/>
    </row>
    <row r="245" spans="25:39" ht="15" customHeight="1" x14ac:dyDescent="0.2">
      <c r="Y245" s="259"/>
      <c r="Z245" s="259"/>
      <c r="AA245" s="259"/>
      <c r="AB245" s="259"/>
      <c r="AC245" s="259"/>
      <c r="AD245" s="259"/>
      <c r="AE245" s="268"/>
      <c r="AF245" s="268"/>
      <c r="AG245" s="259"/>
      <c r="AH245" s="259"/>
      <c r="AI245" s="259"/>
      <c r="AL245" s="292"/>
      <c r="AM245" s="293"/>
    </row>
    <row r="246" spans="25:39" ht="15" customHeight="1" x14ac:dyDescent="0.2">
      <c r="Y246" s="259"/>
      <c r="Z246" s="259"/>
      <c r="AA246" s="259"/>
      <c r="AB246" s="259"/>
      <c r="AC246" s="259"/>
      <c r="AD246" s="259"/>
      <c r="AE246" s="268"/>
      <c r="AF246" s="268"/>
      <c r="AG246" s="259"/>
      <c r="AH246" s="259"/>
      <c r="AI246" s="259"/>
      <c r="AL246" s="292"/>
      <c r="AM246" s="293"/>
    </row>
    <row r="247" spans="25:39" ht="15" customHeight="1" x14ac:dyDescent="0.2">
      <c r="Y247" s="259"/>
      <c r="Z247" s="259"/>
      <c r="AA247" s="259"/>
      <c r="AB247" s="259"/>
      <c r="AC247" s="259"/>
      <c r="AD247" s="259"/>
      <c r="AE247" s="268"/>
      <c r="AF247" s="268"/>
      <c r="AG247" s="259"/>
      <c r="AH247" s="259"/>
      <c r="AI247" s="259"/>
      <c r="AL247" s="292"/>
      <c r="AM247" s="293"/>
    </row>
    <row r="248" spans="25:39" ht="15" customHeight="1" x14ac:dyDescent="0.2">
      <c r="Y248" s="259"/>
      <c r="Z248" s="259"/>
      <c r="AA248" s="259"/>
      <c r="AB248" s="259"/>
      <c r="AC248" s="259"/>
      <c r="AD248" s="259"/>
      <c r="AE248" s="259"/>
      <c r="AF248" s="259"/>
      <c r="AG248" s="259"/>
      <c r="AH248" s="259"/>
      <c r="AI248" s="259"/>
    </row>
    <row r="249" spans="25:39" ht="15" customHeight="1" x14ac:dyDescent="0.2">
      <c r="Y249" s="259"/>
      <c r="Z249" s="259"/>
      <c r="AA249" s="259"/>
      <c r="AB249" s="259"/>
      <c r="AC249" s="259"/>
      <c r="AD249" s="259"/>
      <c r="AE249" s="259"/>
      <c r="AF249" s="259"/>
      <c r="AG249" s="259"/>
      <c r="AH249" s="259"/>
      <c r="AI249" s="259"/>
    </row>
    <row r="250" spans="25:39" ht="15" customHeight="1" x14ac:dyDescent="0.2">
      <c r="Y250" s="259"/>
      <c r="Z250" s="259"/>
      <c r="AA250" s="259"/>
      <c r="AB250" s="259"/>
      <c r="AC250" s="259"/>
      <c r="AD250" s="259"/>
      <c r="AE250" s="259"/>
      <c r="AF250" s="259"/>
      <c r="AG250" s="259"/>
      <c r="AH250" s="259"/>
      <c r="AI250" s="259"/>
    </row>
    <row r="251" spans="25:39" ht="15" customHeight="1" x14ac:dyDescent="0.2">
      <c r="Y251" s="259"/>
      <c r="Z251" s="259"/>
      <c r="AA251" s="259"/>
      <c r="AB251" s="259"/>
      <c r="AC251" s="259"/>
      <c r="AD251" s="259"/>
      <c r="AE251" s="259"/>
      <c r="AF251" s="259"/>
      <c r="AG251" s="259"/>
      <c r="AH251" s="259"/>
      <c r="AI251" s="259"/>
    </row>
    <row r="252" spans="25:39" ht="15" customHeight="1" x14ac:dyDescent="0.2">
      <c r="Y252" s="259"/>
      <c r="Z252" s="259"/>
      <c r="AA252" s="259"/>
      <c r="AB252" s="259"/>
      <c r="AC252" s="259"/>
      <c r="AD252" s="259"/>
      <c r="AE252" s="259"/>
      <c r="AF252" s="259"/>
      <c r="AG252" s="259"/>
      <c r="AH252" s="259"/>
      <c r="AI252" s="259"/>
    </row>
    <row r="253" spans="25:39" ht="15" customHeight="1" x14ac:dyDescent="0.2">
      <c r="Y253" s="259"/>
      <c r="Z253" s="259"/>
      <c r="AA253" s="259"/>
      <c r="AB253" s="259"/>
      <c r="AC253" s="259"/>
      <c r="AD253" s="259"/>
      <c r="AE253" s="259"/>
      <c r="AF253" s="259"/>
      <c r="AG253" s="259"/>
      <c r="AH253" s="259"/>
      <c r="AI253" s="259"/>
    </row>
    <row r="254" spans="25:39" ht="15" customHeight="1" x14ac:dyDescent="0.2">
      <c r="Y254" s="259"/>
      <c r="Z254" s="259"/>
      <c r="AA254" s="259"/>
      <c r="AB254" s="259"/>
      <c r="AC254" s="259"/>
      <c r="AD254" s="259"/>
      <c r="AE254" s="259"/>
      <c r="AF254" s="259"/>
      <c r="AG254" s="259"/>
      <c r="AH254" s="259"/>
      <c r="AI254" s="259"/>
    </row>
    <row r="255" spans="25:39" ht="15" customHeight="1" x14ac:dyDescent="0.2">
      <c r="Y255" s="259"/>
      <c r="Z255" s="259"/>
      <c r="AA255" s="259"/>
      <c r="AB255" s="259"/>
      <c r="AC255" s="259"/>
      <c r="AD255" s="259"/>
      <c r="AE255" s="259"/>
      <c r="AF255" s="259"/>
      <c r="AG255" s="259"/>
      <c r="AH255" s="259"/>
      <c r="AI255" s="259"/>
    </row>
    <row r="256" spans="25:39" ht="15" customHeight="1" x14ac:dyDescent="0.2">
      <c r="Y256" s="259"/>
      <c r="Z256" s="259"/>
      <c r="AA256" s="259"/>
      <c r="AB256" s="259"/>
      <c r="AC256" s="259"/>
      <c r="AD256" s="259"/>
      <c r="AE256" s="259"/>
      <c r="AF256" s="259"/>
      <c r="AG256" s="259"/>
      <c r="AH256" s="259"/>
      <c r="AI256" s="259"/>
    </row>
    <row r="257" spans="25:35" ht="15" customHeight="1" x14ac:dyDescent="0.2">
      <c r="Y257" s="259"/>
      <c r="Z257" s="259"/>
      <c r="AA257" s="259"/>
      <c r="AB257" s="259"/>
      <c r="AC257" s="259"/>
      <c r="AD257" s="259"/>
      <c r="AE257" s="259"/>
      <c r="AF257" s="259"/>
      <c r="AG257" s="259"/>
      <c r="AH257" s="259"/>
      <c r="AI257" s="259"/>
    </row>
    <row r="258" spans="25:35" ht="15" customHeight="1" x14ac:dyDescent="0.2">
      <c r="Y258" s="259"/>
      <c r="Z258" s="259"/>
      <c r="AA258" s="259"/>
      <c r="AB258" s="259"/>
      <c r="AC258" s="259"/>
      <c r="AD258" s="259"/>
      <c r="AE258" s="259"/>
      <c r="AF258" s="259"/>
      <c r="AG258" s="259"/>
      <c r="AH258" s="259"/>
      <c r="AI258" s="259"/>
    </row>
    <row r="259" spans="25:35" ht="15" customHeight="1" x14ac:dyDescent="0.2">
      <c r="Y259" s="259"/>
      <c r="Z259" s="259"/>
      <c r="AA259" s="259"/>
      <c r="AB259" s="259"/>
      <c r="AC259" s="259"/>
      <c r="AD259" s="259"/>
      <c r="AE259" s="259"/>
      <c r="AF259" s="259"/>
      <c r="AG259" s="259"/>
      <c r="AH259" s="259"/>
      <c r="AI259" s="259"/>
    </row>
    <row r="260" spans="25:35" ht="15" customHeight="1" x14ac:dyDescent="0.2">
      <c r="Y260" s="259"/>
      <c r="Z260" s="259"/>
      <c r="AA260" s="259"/>
      <c r="AB260" s="259"/>
      <c r="AC260" s="259"/>
      <c r="AD260" s="259"/>
      <c r="AE260" s="259"/>
      <c r="AF260" s="259"/>
      <c r="AG260" s="259"/>
      <c r="AH260" s="259"/>
      <c r="AI260" s="259"/>
    </row>
    <row r="261" spans="25:35" ht="15" customHeight="1" x14ac:dyDescent="0.2">
      <c r="Y261" s="259"/>
      <c r="Z261" s="259"/>
      <c r="AA261" s="259"/>
      <c r="AB261" s="259"/>
      <c r="AC261" s="259"/>
      <c r="AD261" s="259"/>
      <c r="AE261" s="259"/>
      <c r="AF261" s="259"/>
      <c r="AG261" s="259"/>
      <c r="AH261" s="259"/>
      <c r="AI261" s="259"/>
    </row>
    <row r="262" spans="25:35" ht="15" customHeight="1" x14ac:dyDescent="0.2">
      <c r="Y262" s="259"/>
      <c r="Z262" s="259"/>
      <c r="AA262" s="259"/>
      <c r="AB262" s="259"/>
      <c r="AC262" s="259"/>
      <c r="AD262" s="259"/>
      <c r="AE262" s="259"/>
      <c r="AF262" s="259"/>
      <c r="AG262" s="259"/>
      <c r="AH262" s="259"/>
      <c r="AI262" s="259"/>
    </row>
    <row r="263" spans="25:35" ht="15" customHeight="1" x14ac:dyDescent="0.2">
      <c r="Y263" s="259"/>
      <c r="Z263" s="259"/>
      <c r="AA263" s="259"/>
      <c r="AB263" s="259"/>
      <c r="AC263" s="259"/>
      <c r="AD263" s="259"/>
      <c r="AE263" s="259"/>
      <c r="AF263" s="259"/>
      <c r="AG263" s="259"/>
      <c r="AH263" s="259"/>
      <c r="AI263" s="259"/>
    </row>
    <row r="264" spans="25:35" ht="15" customHeight="1" x14ac:dyDescent="0.2">
      <c r="Y264" s="259"/>
      <c r="Z264" s="259"/>
      <c r="AA264" s="259"/>
      <c r="AB264" s="259"/>
      <c r="AC264" s="259"/>
      <c r="AD264" s="259"/>
      <c r="AE264" s="259"/>
      <c r="AF264" s="259"/>
      <c r="AG264" s="259"/>
      <c r="AH264" s="259"/>
      <c r="AI264" s="259"/>
    </row>
    <row r="265" spans="25:35" ht="15" customHeight="1" x14ac:dyDescent="0.2">
      <c r="Y265" s="259"/>
      <c r="Z265" s="259"/>
      <c r="AA265" s="259"/>
      <c r="AB265" s="259"/>
      <c r="AC265" s="259"/>
      <c r="AD265" s="259"/>
      <c r="AE265" s="259"/>
      <c r="AF265" s="259"/>
      <c r="AG265" s="259"/>
      <c r="AH265" s="259"/>
      <c r="AI265" s="259"/>
    </row>
    <row r="266" spans="25:35" ht="15" customHeight="1" x14ac:dyDescent="0.2">
      <c r="Y266" s="259"/>
      <c r="Z266" s="259"/>
      <c r="AA266" s="259"/>
      <c r="AB266" s="259"/>
      <c r="AC266" s="259"/>
      <c r="AD266" s="259"/>
      <c r="AE266" s="259"/>
      <c r="AF266" s="259"/>
      <c r="AG266" s="259"/>
      <c r="AH266" s="259"/>
      <c r="AI266" s="259"/>
    </row>
    <row r="267" spans="25:35" ht="15" customHeight="1" x14ac:dyDescent="0.2">
      <c r="Y267" s="259"/>
      <c r="Z267" s="259"/>
      <c r="AA267" s="259"/>
      <c r="AB267" s="259"/>
      <c r="AC267" s="259"/>
      <c r="AD267" s="259"/>
      <c r="AE267" s="259"/>
      <c r="AF267" s="259"/>
      <c r="AG267" s="259"/>
      <c r="AH267" s="259"/>
      <c r="AI267" s="259"/>
    </row>
    <row r="268" spans="25:35" ht="15" customHeight="1" x14ac:dyDescent="0.2">
      <c r="Y268" s="259"/>
      <c r="Z268" s="259"/>
      <c r="AA268" s="259"/>
      <c r="AB268" s="259"/>
      <c r="AC268" s="259"/>
      <c r="AD268" s="259"/>
      <c r="AE268" s="259"/>
      <c r="AF268" s="259"/>
      <c r="AG268" s="259"/>
      <c r="AH268" s="259"/>
      <c r="AI268" s="259"/>
    </row>
    <row r="269" spans="25:35" ht="15" customHeight="1" x14ac:dyDescent="0.2">
      <c r="Y269" s="259"/>
      <c r="Z269" s="259"/>
      <c r="AA269" s="259"/>
      <c r="AB269" s="259"/>
      <c r="AC269" s="259"/>
      <c r="AD269" s="259"/>
      <c r="AE269" s="259"/>
      <c r="AF269" s="259"/>
      <c r="AG269" s="259"/>
      <c r="AH269" s="259"/>
      <c r="AI269" s="259"/>
    </row>
    <row r="270" spans="25:35" ht="15" customHeight="1" x14ac:dyDescent="0.2">
      <c r="Y270" s="259"/>
      <c r="Z270" s="259"/>
      <c r="AA270" s="259"/>
      <c r="AB270" s="259"/>
      <c r="AC270" s="259"/>
      <c r="AD270" s="259"/>
      <c r="AE270" s="259"/>
      <c r="AF270" s="259"/>
      <c r="AG270" s="259"/>
      <c r="AH270" s="259"/>
      <c r="AI270" s="259"/>
    </row>
    <row r="271" spans="25:35" ht="15" customHeight="1" x14ac:dyDescent="0.2">
      <c r="Y271" s="259"/>
      <c r="Z271" s="259"/>
      <c r="AA271" s="259"/>
      <c r="AB271" s="259"/>
      <c r="AC271" s="259"/>
      <c r="AD271" s="259"/>
      <c r="AE271" s="259"/>
      <c r="AF271" s="259"/>
      <c r="AG271" s="259"/>
      <c r="AH271" s="259"/>
      <c r="AI271" s="259"/>
    </row>
    <row r="272" spans="25:35" ht="15" customHeight="1" x14ac:dyDescent="0.2">
      <c r="Y272" s="259"/>
      <c r="Z272" s="259"/>
      <c r="AA272" s="259"/>
      <c r="AB272" s="259"/>
      <c r="AC272" s="259"/>
      <c r="AD272" s="259"/>
      <c r="AE272" s="259"/>
      <c r="AF272" s="259"/>
      <c r="AG272" s="259"/>
      <c r="AH272" s="259"/>
      <c r="AI272" s="259"/>
    </row>
    <row r="273" spans="25:75" ht="15" customHeight="1" x14ac:dyDescent="0.2">
      <c r="Y273" s="259"/>
      <c r="Z273" s="259"/>
      <c r="AA273" s="259"/>
      <c r="AB273" s="259"/>
      <c r="AC273" s="259"/>
      <c r="AD273" s="259"/>
      <c r="AE273" s="259"/>
      <c r="AF273" s="259"/>
      <c r="AG273" s="259"/>
      <c r="AH273" s="259"/>
      <c r="AI273" s="259"/>
    </row>
    <row r="274" spans="25:75" ht="15" customHeight="1" x14ac:dyDescent="0.2">
      <c r="Y274" s="259"/>
      <c r="Z274" s="259"/>
      <c r="AA274" s="259"/>
      <c r="AB274" s="259"/>
      <c r="AC274" s="259"/>
      <c r="AD274" s="259"/>
      <c r="AE274" s="259"/>
      <c r="AF274" s="259"/>
      <c r="AG274" s="259"/>
      <c r="AH274" s="259"/>
      <c r="AI274" s="259"/>
    </row>
    <row r="275" spans="25:75" ht="15" customHeight="1" x14ac:dyDescent="0.2">
      <c r="Y275" s="259"/>
      <c r="Z275" s="259"/>
      <c r="AA275" s="259"/>
      <c r="AB275" s="259"/>
      <c r="AC275" s="259"/>
      <c r="AD275" s="259"/>
      <c r="AE275" s="259"/>
      <c r="AF275" s="259"/>
      <c r="AG275" s="259"/>
      <c r="AH275" s="259"/>
      <c r="AI275" s="259"/>
    </row>
    <row r="276" spans="25:75" ht="15" customHeight="1" x14ac:dyDescent="0.2">
      <c r="Y276" s="259"/>
      <c r="Z276" s="259"/>
      <c r="AA276" s="259"/>
      <c r="AB276" s="259"/>
      <c r="AC276" s="259"/>
      <c r="AD276" s="259"/>
      <c r="AE276" s="259"/>
      <c r="AF276" s="259"/>
      <c r="AG276" s="259"/>
      <c r="AH276" s="259"/>
      <c r="AI276" s="259"/>
    </row>
    <row r="277" spans="25:75" ht="15" customHeight="1" x14ac:dyDescent="0.2">
      <c r="Y277" s="259"/>
      <c r="Z277" s="259"/>
      <c r="AA277" s="259"/>
      <c r="AB277" s="259"/>
      <c r="AC277" s="259"/>
      <c r="AD277" s="259"/>
      <c r="AE277" s="259"/>
      <c r="AF277" s="259"/>
      <c r="AG277" s="259"/>
      <c r="AH277" s="259"/>
      <c r="AI277" s="259"/>
    </row>
    <row r="278" spans="25:75" ht="15" customHeight="1" x14ac:dyDescent="0.2">
      <c r="Y278" s="259"/>
      <c r="Z278" s="259"/>
      <c r="AA278" s="259"/>
      <c r="AB278" s="259"/>
      <c r="AC278" s="259"/>
      <c r="AD278" s="259"/>
      <c r="AE278" s="259"/>
      <c r="AF278" s="259"/>
      <c r="AG278" s="259"/>
      <c r="AH278" s="259"/>
      <c r="AI278" s="259"/>
    </row>
    <row r="279" spans="25:75" ht="15" customHeight="1" x14ac:dyDescent="0.2">
      <c r="Y279" s="259"/>
      <c r="Z279" s="259"/>
      <c r="AA279" s="259"/>
      <c r="AB279" s="259"/>
      <c r="AC279" s="259"/>
      <c r="AD279" s="259"/>
      <c r="AE279" s="259"/>
      <c r="AF279" s="259"/>
      <c r="AG279" s="259"/>
      <c r="AH279" s="259"/>
      <c r="AI279" s="259"/>
    </row>
    <row r="280" spans="25:75" ht="15" customHeight="1" x14ac:dyDescent="0.2">
      <c r="Y280" s="259"/>
      <c r="Z280" s="259"/>
      <c r="AA280" s="259"/>
      <c r="AB280" s="259"/>
      <c r="AC280" s="259"/>
      <c r="AD280" s="259"/>
      <c r="AE280" s="259"/>
      <c r="AF280" s="259"/>
      <c r="AG280" s="259"/>
      <c r="AH280" s="259"/>
      <c r="AI280" s="259"/>
      <c r="BC280" s="266"/>
    </row>
    <row r="281" spans="25:75" ht="15" customHeight="1" x14ac:dyDescent="0.2">
      <c r="Y281" s="259"/>
      <c r="Z281" s="259"/>
      <c r="AA281" s="259"/>
      <c r="AB281" s="259"/>
      <c r="AC281" s="259"/>
      <c r="AD281" s="259"/>
      <c r="AE281" s="259"/>
      <c r="AF281" s="259"/>
      <c r="AG281" s="259"/>
      <c r="AH281" s="259"/>
      <c r="AI281" s="259"/>
    </row>
    <row r="282" spans="25:75" ht="15" customHeight="1" x14ac:dyDescent="0.2">
      <c r="Y282" s="259"/>
      <c r="Z282" s="259"/>
      <c r="AA282" s="259"/>
      <c r="AB282" s="259"/>
      <c r="AC282" s="259"/>
      <c r="AD282" s="259"/>
      <c r="AE282" s="259"/>
      <c r="AF282" s="259"/>
      <c r="AG282" s="259"/>
      <c r="AH282" s="259"/>
      <c r="AI282" s="259"/>
      <c r="BD282" s="266"/>
    </row>
    <row r="283" spans="25:75" ht="15" customHeight="1" x14ac:dyDescent="0.2">
      <c r="Y283" s="259"/>
      <c r="Z283" s="259"/>
      <c r="AA283" s="259"/>
      <c r="AB283" s="259"/>
      <c r="AC283" s="259"/>
      <c r="AD283" s="259"/>
      <c r="AE283" s="259"/>
      <c r="AF283" s="259"/>
      <c r="AG283" s="259"/>
      <c r="AH283" s="259"/>
      <c r="AI283" s="259"/>
    </row>
    <row r="284" spans="25:75" ht="15" customHeight="1" x14ac:dyDescent="0.2">
      <c r="Y284" s="259"/>
      <c r="Z284" s="259"/>
      <c r="AA284" s="259"/>
      <c r="AB284" s="259"/>
      <c r="AC284" s="259"/>
      <c r="AD284" s="259"/>
      <c r="AE284" s="259"/>
      <c r="AF284" s="259"/>
      <c r="AG284" s="259"/>
      <c r="AH284" s="259"/>
      <c r="AI284" s="259"/>
    </row>
    <row r="285" spans="25:75" ht="15" customHeight="1" x14ac:dyDescent="0.2">
      <c r="Y285" s="259"/>
      <c r="Z285" s="259"/>
      <c r="AA285" s="259"/>
      <c r="AB285" s="259"/>
      <c r="AC285" s="259"/>
      <c r="AD285" s="259"/>
      <c r="AE285" s="259"/>
      <c r="AF285" s="259"/>
      <c r="AG285" s="259"/>
      <c r="AH285" s="259"/>
      <c r="AI285" s="259"/>
      <c r="BE285" s="266"/>
      <c r="BF285" s="266"/>
      <c r="BG285" s="266"/>
      <c r="BH285" s="266"/>
      <c r="BI285" s="266"/>
      <c r="BJ285" s="266"/>
      <c r="BK285" s="266"/>
      <c r="BL285" s="266"/>
      <c r="BM285" s="266"/>
      <c r="BN285" s="266"/>
      <c r="BO285" s="266"/>
      <c r="BP285" s="266"/>
      <c r="BQ285" s="266"/>
      <c r="BR285" s="266"/>
    </row>
    <row r="286" spans="25:75" ht="15" customHeight="1" x14ac:dyDescent="0.2">
      <c r="Y286" s="259"/>
      <c r="Z286" s="259"/>
      <c r="AA286" s="259"/>
      <c r="AB286" s="259"/>
      <c r="AC286" s="259"/>
      <c r="AD286" s="259"/>
      <c r="AE286" s="259"/>
      <c r="AF286" s="259"/>
      <c r="AG286" s="259"/>
      <c r="AH286" s="259"/>
      <c r="AI286" s="259"/>
      <c r="BS286" s="266"/>
    </row>
    <row r="287" spans="25:75" ht="15" customHeight="1" x14ac:dyDescent="0.2">
      <c r="Y287" s="259"/>
      <c r="Z287" s="259"/>
      <c r="AA287" s="259"/>
      <c r="AB287" s="259"/>
      <c r="AC287" s="259"/>
      <c r="AD287" s="259"/>
      <c r="AE287" s="259"/>
      <c r="AF287" s="259"/>
      <c r="AG287" s="259"/>
      <c r="AH287" s="259"/>
      <c r="AI287" s="259"/>
      <c r="BV287" s="266"/>
    </row>
    <row r="288" spans="25:75" ht="15" customHeight="1" x14ac:dyDescent="0.2">
      <c r="Y288" s="259"/>
      <c r="Z288" s="259"/>
      <c r="AA288" s="259"/>
      <c r="AB288" s="259"/>
      <c r="AC288" s="259"/>
      <c r="AD288" s="259"/>
      <c r="AE288" s="259"/>
      <c r="AF288" s="259"/>
      <c r="AG288" s="259"/>
      <c r="AH288" s="259"/>
      <c r="AI288" s="259"/>
      <c r="BW288" s="266"/>
    </row>
    <row r="289" spans="25:73" ht="15" customHeight="1" x14ac:dyDescent="0.2">
      <c r="Y289" s="259"/>
      <c r="Z289" s="259"/>
      <c r="AA289" s="259"/>
      <c r="AB289" s="259"/>
      <c r="AC289" s="259"/>
      <c r="AD289" s="259"/>
      <c r="AE289" s="259"/>
      <c r="AF289" s="259"/>
      <c r="AG289" s="259"/>
      <c r="AH289" s="259"/>
      <c r="AI289" s="259"/>
    </row>
    <row r="290" spans="25:73" ht="15" customHeight="1" x14ac:dyDescent="0.2">
      <c r="Y290" s="259"/>
      <c r="Z290" s="259"/>
      <c r="AA290" s="259"/>
      <c r="AB290" s="259"/>
      <c r="AC290" s="259"/>
      <c r="AD290" s="259"/>
      <c r="AE290" s="259"/>
      <c r="AF290" s="259"/>
      <c r="AG290" s="259"/>
      <c r="AH290" s="259"/>
      <c r="AI290" s="259"/>
      <c r="BT290" s="266"/>
      <c r="BU290" s="266"/>
    </row>
    <row r="291" spans="25:73" ht="15" customHeight="1" x14ac:dyDescent="0.2">
      <c r="Y291" s="259"/>
      <c r="Z291" s="259"/>
      <c r="AA291" s="259"/>
      <c r="AB291" s="259"/>
      <c r="AC291" s="259"/>
      <c r="AD291" s="259"/>
      <c r="AE291" s="259"/>
      <c r="AF291" s="259"/>
      <c r="AG291" s="259"/>
      <c r="AH291" s="259"/>
      <c r="AI291" s="259"/>
    </row>
    <row r="292" spans="25:73" ht="15" customHeight="1" x14ac:dyDescent="0.2">
      <c r="Y292" s="259"/>
      <c r="Z292" s="259"/>
      <c r="AA292" s="259"/>
      <c r="AB292" s="259"/>
      <c r="AC292" s="259"/>
      <c r="AD292" s="259"/>
      <c r="AE292" s="259"/>
      <c r="AF292" s="259"/>
      <c r="AG292" s="259"/>
      <c r="AH292" s="259"/>
      <c r="AI292" s="259"/>
    </row>
    <row r="293" spans="25:73" ht="15" customHeight="1" x14ac:dyDescent="0.2">
      <c r="Y293" s="259"/>
      <c r="Z293" s="259"/>
      <c r="AA293" s="259"/>
      <c r="AB293" s="259"/>
      <c r="AC293" s="259"/>
      <c r="AD293" s="259"/>
      <c r="AE293" s="259"/>
      <c r="AF293" s="259"/>
      <c r="AG293" s="259"/>
      <c r="AH293" s="259"/>
      <c r="AI293" s="259"/>
    </row>
    <row r="294" spans="25:73" ht="15" customHeight="1" x14ac:dyDescent="0.2">
      <c r="Y294" s="259"/>
      <c r="Z294" s="259"/>
      <c r="AA294" s="259"/>
      <c r="AB294" s="259"/>
      <c r="AC294" s="259"/>
      <c r="AD294" s="259"/>
      <c r="AE294" s="259"/>
      <c r="AF294" s="259"/>
      <c r="AG294" s="259"/>
      <c r="AH294" s="259"/>
      <c r="AI294" s="259"/>
    </row>
    <row r="295" spans="25:73" ht="15" customHeight="1" x14ac:dyDescent="0.2">
      <c r="Y295" s="259"/>
      <c r="Z295" s="259"/>
      <c r="AA295" s="259"/>
      <c r="AB295" s="259"/>
      <c r="AC295" s="259"/>
      <c r="AD295" s="259"/>
      <c r="AE295" s="259"/>
      <c r="AF295" s="259"/>
      <c r="AG295" s="259"/>
      <c r="AH295" s="259"/>
      <c r="AI295" s="259"/>
    </row>
    <row r="296" spans="25:73" ht="15" customHeight="1" x14ac:dyDescent="0.2">
      <c r="Y296" s="259"/>
      <c r="Z296" s="259"/>
      <c r="AA296" s="259"/>
      <c r="AB296" s="259"/>
      <c r="AC296" s="259"/>
      <c r="AD296" s="259"/>
      <c r="AE296" s="259"/>
      <c r="AF296" s="259"/>
      <c r="AG296" s="259"/>
      <c r="AH296" s="259"/>
      <c r="AI296" s="259"/>
      <c r="AY296" s="266"/>
      <c r="AZ296" s="266"/>
    </row>
    <row r="297" spans="25:73" ht="15" customHeight="1" x14ac:dyDescent="0.2">
      <c r="Y297" s="259"/>
      <c r="Z297" s="259"/>
      <c r="AA297" s="259"/>
      <c r="AB297" s="259"/>
      <c r="AC297" s="259"/>
      <c r="AD297" s="259"/>
      <c r="AE297" s="259"/>
      <c r="AF297" s="259"/>
      <c r="AG297" s="259"/>
      <c r="AH297" s="259"/>
      <c r="AI297" s="259"/>
    </row>
    <row r="298" spans="25:73" ht="15" customHeight="1" x14ac:dyDescent="0.2">
      <c r="Y298" s="259"/>
      <c r="Z298" s="259"/>
      <c r="AA298" s="259"/>
      <c r="AB298" s="259"/>
      <c r="AC298" s="259"/>
      <c r="AD298" s="259"/>
      <c r="AE298" s="259"/>
      <c r="AF298" s="259"/>
      <c r="AG298" s="259"/>
      <c r="AH298" s="259"/>
      <c r="AI298" s="259"/>
    </row>
    <row r="299" spans="25:73" ht="15" customHeight="1" x14ac:dyDescent="0.2">
      <c r="Y299" s="259"/>
      <c r="Z299" s="259"/>
      <c r="AA299" s="259"/>
      <c r="AB299" s="259"/>
      <c r="AC299" s="259"/>
      <c r="AD299" s="259"/>
      <c r="AE299" s="259"/>
      <c r="AF299" s="259"/>
      <c r="AG299" s="259"/>
      <c r="AH299" s="259"/>
      <c r="AI299" s="259"/>
      <c r="BA299" s="266"/>
    </row>
    <row r="300" spans="25:73" ht="15" customHeight="1" x14ac:dyDescent="0.2">
      <c r="Y300" s="259"/>
      <c r="Z300" s="259"/>
      <c r="AA300" s="259"/>
      <c r="AB300" s="259"/>
      <c r="AC300" s="259"/>
      <c r="AD300" s="259"/>
      <c r="AE300" s="259"/>
      <c r="AF300" s="259"/>
      <c r="AG300" s="259"/>
      <c r="AH300" s="259"/>
      <c r="AI300" s="259"/>
      <c r="AX300" s="266"/>
    </row>
    <row r="301" spans="25:73" ht="15" customHeight="1" x14ac:dyDescent="0.2">
      <c r="Y301" s="259"/>
      <c r="Z301" s="259"/>
      <c r="AA301" s="259"/>
      <c r="AB301" s="259"/>
      <c r="AC301" s="259"/>
      <c r="AD301" s="259"/>
      <c r="AE301" s="259"/>
      <c r="AF301" s="259"/>
      <c r="AG301" s="259"/>
      <c r="AH301" s="259"/>
      <c r="AI301" s="259"/>
    </row>
    <row r="302" spans="25:73" ht="15" customHeight="1" x14ac:dyDescent="0.2">
      <c r="Y302" s="259"/>
      <c r="Z302" s="259"/>
      <c r="AA302" s="259"/>
      <c r="AB302" s="259"/>
      <c r="AC302" s="259"/>
      <c r="AD302" s="259"/>
      <c r="AE302" s="259"/>
      <c r="AF302" s="259"/>
      <c r="AG302" s="259"/>
      <c r="AH302" s="259"/>
      <c r="AI302" s="259"/>
      <c r="BB302" s="266"/>
    </row>
    <row r="303" spans="25:73" ht="15" customHeight="1" x14ac:dyDescent="0.2">
      <c r="Y303" s="259"/>
      <c r="Z303" s="259"/>
      <c r="AA303" s="259"/>
      <c r="AB303" s="259"/>
      <c r="AC303" s="259"/>
      <c r="AD303" s="259"/>
      <c r="AE303" s="259"/>
      <c r="AF303" s="259"/>
      <c r="AG303" s="259"/>
      <c r="AH303" s="259"/>
      <c r="AI303" s="259"/>
    </row>
    <row r="304" spans="25:73" ht="15" customHeight="1" x14ac:dyDescent="0.2">
      <c r="Y304" s="259"/>
      <c r="Z304" s="259"/>
      <c r="AA304" s="259"/>
      <c r="AB304" s="259"/>
      <c r="AC304" s="259"/>
      <c r="AD304" s="259"/>
      <c r="AE304" s="259"/>
      <c r="AF304" s="259"/>
      <c r="AG304" s="259"/>
      <c r="AH304" s="259"/>
      <c r="AI304" s="259"/>
    </row>
    <row r="305" spans="1:75" ht="15" customHeight="1" x14ac:dyDescent="0.2">
      <c r="Y305" s="259"/>
      <c r="Z305" s="259"/>
      <c r="AA305" s="259"/>
      <c r="AB305" s="259"/>
      <c r="AC305" s="259"/>
      <c r="AD305" s="259"/>
      <c r="AE305" s="259"/>
      <c r="AF305" s="259"/>
      <c r="AG305" s="259"/>
      <c r="AH305" s="259"/>
      <c r="AI305" s="259"/>
    </row>
    <row r="306" spans="1:75" ht="15" customHeight="1" x14ac:dyDescent="0.2">
      <c r="Y306" s="259"/>
      <c r="Z306" s="259"/>
      <c r="AA306" s="259"/>
      <c r="AB306" s="259"/>
      <c r="AC306" s="259"/>
      <c r="AD306" s="259"/>
      <c r="AE306" s="259"/>
      <c r="AF306" s="259"/>
      <c r="AG306" s="259"/>
      <c r="AH306" s="259"/>
      <c r="AI306" s="259"/>
    </row>
    <row r="307" spans="1:75" ht="15" customHeight="1" x14ac:dyDescent="0.2">
      <c r="Y307" s="259"/>
      <c r="Z307" s="259"/>
      <c r="AA307" s="259"/>
      <c r="AB307" s="259"/>
      <c r="AC307" s="259"/>
      <c r="AD307" s="259"/>
      <c r="AE307" s="259"/>
      <c r="AF307" s="259"/>
      <c r="AG307" s="259"/>
      <c r="AH307" s="259"/>
      <c r="AI307" s="259"/>
    </row>
    <row r="308" spans="1:75" ht="15" customHeight="1" x14ac:dyDescent="0.2">
      <c r="Y308" s="259"/>
      <c r="Z308" s="259"/>
      <c r="AA308" s="259"/>
      <c r="AB308" s="259"/>
      <c r="AC308" s="259"/>
      <c r="AD308" s="259"/>
      <c r="AE308" s="259"/>
      <c r="AF308" s="259"/>
      <c r="AG308" s="259"/>
      <c r="AH308" s="259"/>
      <c r="AI308" s="259"/>
    </row>
    <row r="309" spans="1:75" s="266" customFormat="1" ht="15" customHeight="1" x14ac:dyDescent="0.2">
      <c r="A309" s="254"/>
      <c r="B309" s="254"/>
      <c r="C309" s="254"/>
      <c r="D309" s="254"/>
      <c r="E309" s="254"/>
      <c r="F309" s="254"/>
      <c r="G309" s="254"/>
      <c r="H309" s="254"/>
      <c r="I309" s="254"/>
      <c r="J309" s="254"/>
      <c r="K309" s="254"/>
      <c r="L309" s="254"/>
      <c r="M309" s="254"/>
      <c r="N309" s="254"/>
      <c r="O309" s="254"/>
      <c r="P309" s="254"/>
      <c r="Q309" s="254"/>
      <c r="R309" s="254"/>
      <c r="S309" s="254"/>
      <c r="T309" s="254"/>
      <c r="U309" s="254"/>
      <c r="V309" s="254"/>
      <c r="W309" s="254"/>
      <c r="X309" s="254"/>
      <c r="Y309" s="265"/>
      <c r="Z309" s="259"/>
      <c r="AA309" s="259"/>
      <c r="AB309" s="259"/>
      <c r="AC309" s="259"/>
      <c r="AD309" s="259"/>
      <c r="AE309" s="259"/>
      <c r="AF309" s="259"/>
      <c r="AG309" s="259"/>
      <c r="AH309" s="259"/>
      <c r="AI309" s="259"/>
      <c r="AJ309" s="254"/>
      <c r="AK309" s="254"/>
      <c r="AL309" s="254"/>
      <c r="AM309" s="254"/>
      <c r="AN309" s="254"/>
      <c r="AO309" s="254"/>
      <c r="AP309" s="254"/>
      <c r="AQ309" s="254"/>
      <c r="AR309" s="254"/>
      <c r="AS309" s="254"/>
      <c r="AT309" s="254"/>
      <c r="AU309" s="254"/>
      <c r="AX309" s="254"/>
      <c r="AY309" s="254"/>
      <c r="AZ309" s="254"/>
      <c r="BA309" s="254"/>
      <c r="BB309" s="254"/>
      <c r="BC309" s="254"/>
      <c r="BD309" s="254"/>
      <c r="BE309" s="254"/>
      <c r="BF309" s="254"/>
      <c r="BG309" s="254"/>
      <c r="BH309" s="254"/>
      <c r="BI309" s="254"/>
      <c r="BJ309" s="254"/>
      <c r="BK309" s="254"/>
      <c r="BL309" s="254"/>
      <c r="BM309" s="254"/>
      <c r="BN309" s="254"/>
      <c r="BO309" s="254"/>
      <c r="BP309" s="254"/>
      <c r="BQ309" s="254"/>
      <c r="BR309" s="254"/>
      <c r="BS309" s="254"/>
      <c r="BT309" s="254"/>
      <c r="BU309" s="254"/>
      <c r="BV309" s="254"/>
      <c r="BW309" s="254"/>
    </row>
    <row r="310" spans="1:75" ht="15" customHeight="1" x14ac:dyDescent="0.2">
      <c r="Y310" s="259"/>
      <c r="Z310" s="259"/>
      <c r="AA310" s="259"/>
      <c r="AB310" s="259"/>
      <c r="AC310" s="259"/>
      <c r="AD310" s="259"/>
      <c r="AE310" s="259"/>
      <c r="AF310" s="259"/>
      <c r="AG310" s="259"/>
      <c r="AH310" s="259"/>
      <c r="AI310" s="259"/>
    </row>
    <row r="311" spans="1:75" ht="15" customHeight="1" x14ac:dyDescent="0.2">
      <c r="Y311" s="259"/>
      <c r="Z311" s="259"/>
      <c r="AA311" s="259"/>
      <c r="AB311" s="259"/>
      <c r="AC311" s="259"/>
      <c r="AD311" s="265"/>
      <c r="AE311" s="265"/>
      <c r="AF311" s="265"/>
      <c r="AG311" s="265"/>
      <c r="AH311" s="265"/>
      <c r="AI311" s="265"/>
      <c r="AJ311" s="266"/>
      <c r="AK311" s="266"/>
      <c r="AL311" s="266"/>
      <c r="AM311" s="266"/>
      <c r="AN311" s="266"/>
      <c r="AO311" s="266"/>
      <c r="AP311" s="266"/>
      <c r="AQ311" s="266"/>
      <c r="AR311" s="266"/>
      <c r="AS311" s="266"/>
      <c r="AT311" s="266"/>
    </row>
    <row r="312" spans="1:75" ht="15" customHeight="1" x14ac:dyDescent="0.2">
      <c r="Y312" s="259"/>
      <c r="Z312" s="259"/>
      <c r="AA312" s="259"/>
      <c r="AB312" s="259"/>
      <c r="AC312" s="259"/>
      <c r="AD312" s="259"/>
      <c r="AE312" s="259"/>
      <c r="AF312" s="259"/>
      <c r="AG312" s="259"/>
      <c r="AH312" s="259"/>
      <c r="AI312" s="259"/>
    </row>
    <row r="313" spans="1:75" ht="15" customHeight="1" x14ac:dyDescent="0.2">
      <c r="Y313" s="259"/>
      <c r="Z313" s="259"/>
      <c r="AA313" s="259"/>
      <c r="AB313" s="259"/>
      <c r="AC313" s="259"/>
      <c r="AD313" s="259"/>
      <c r="AE313" s="259"/>
      <c r="AF313" s="259"/>
      <c r="AG313" s="259"/>
      <c r="AH313" s="259"/>
      <c r="AI313" s="259"/>
    </row>
    <row r="314" spans="1:75" ht="15" customHeight="1" x14ac:dyDescent="0.2">
      <c r="Y314" s="259"/>
      <c r="Z314" s="259"/>
      <c r="AA314" s="259"/>
      <c r="AB314" s="259"/>
      <c r="AC314" s="259"/>
      <c r="AD314" s="259"/>
      <c r="AE314" s="259"/>
      <c r="AF314" s="259"/>
      <c r="AG314" s="259"/>
      <c r="AH314" s="259"/>
      <c r="AI314" s="259"/>
    </row>
    <row r="315" spans="1:75" ht="15" customHeight="1" x14ac:dyDescent="0.2">
      <c r="Y315" s="259"/>
      <c r="Z315" s="259"/>
      <c r="AA315" s="259"/>
      <c r="AB315" s="259"/>
      <c r="AC315" s="259"/>
      <c r="AD315" s="259"/>
      <c r="AE315" s="259"/>
      <c r="AF315" s="259"/>
      <c r="AG315" s="259"/>
      <c r="AH315" s="259"/>
      <c r="AI315" s="259"/>
    </row>
    <row r="316" spans="1:75" ht="15" customHeight="1" x14ac:dyDescent="0.2">
      <c r="Y316" s="259"/>
      <c r="Z316" s="259"/>
      <c r="AA316" s="259"/>
      <c r="AB316" s="259"/>
      <c r="AC316" s="259"/>
      <c r="AD316" s="259"/>
      <c r="AE316" s="259"/>
      <c r="AF316" s="259"/>
      <c r="AG316" s="259"/>
      <c r="AH316" s="259"/>
      <c r="AI316" s="259"/>
      <c r="AU316" s="266"/>
    </row>
    <row r="317" spans="1:75" ht="15" customHeight="1" x14ac:dyDescent="0.2">
      <c r="Y317" s="259"/>
      <c r="Z317" s="259"/>
      <c r="AA317" s="259"/>
      <c r="AB317" s="259"/>
      <c r="AC317" s="259"/>
      <c r="AD317" s="259"/>
      <c r="AE317" s="259"/>
      <c r="AF317" s="259"/>
      <c r="AG317" s="259"/>
      <c r="AH317" s="259"/>
      <c r="AI317" s="259"/>
    </row>
    <row r="318" spans="1:75" ht="15" customHeight="1" x14ac:dyDescent="0.2">
      <c r="Y318" s="259"/>
      <c r="Z318" s="259"/>
      <c r="AA318" s="259"/>
      <c r="AB318" s="259"/>
      <c r="AC318" s="259"/>
      <c r="AD318" s="259"/>
      <c r="AE318" s="259"/>
      <c r="AF318" s="259"/>
      <c r="AG318" s="259"/>
      <c r="AH318" s="259"/>
      <c r="AI318" s="259"/>
    </row>
    <row r="319" spans="1:75" ht="15" customHeight="1" x14ac:dyDescent="0.2">
      <c r="Y319" s="259"/>
      <c r="Z319" s="259"/>
      <c r="AA319" s="259"/>
      <c r="AB319" s="259"/>
      <c r="AC319" s="259"/>
      <c r="AD319" s="259"/>
      <c r="AE319" s="259"/>
      <c r="AF319" s="259"/>
      <c r="AG319" s="259"/>
      <c r="AH319" s="259"/>
      <c r="AI319" s="259"/>
    </row>
    <row r="320" spans="1:75" ht="15" customHeight="1" x14ac:dyDescent="0.2">
      <c r="Y320" s="259"/>
      <c r="Z320" s="259"/>
      <c r="AA320" s="259"/>
      <c r="AB320" s="259"/>
      <c r="AC320" s="259"/>
      <c r="AD320" s="259"/>
      <c r="AE320" s="259"/>
      <c r="AF320" s="259"/>
      <c r="AG320" s="259"/>
      <c r="AH320" s="259"/>
      <c r="AI320" s="259"/>
    </row>
    <row r="321" spans="25:35" ht="15" customHeight="1" x14ac:dyDescent="0.2">
      <c r="Y321" s="259"/>
      <c r="Z321" s="259"/>
      <c r="AA321" s="259"/>
      <c r="AB321" s="259"/>
      <c r="AC321" s="259"/>
      <c r="AD321" s="259"/>
      <c r="AE321" s="259"/>
      <c r="AF321" s="259"/>
      <c r="AG321" s="259"/>
      <c r="AH321" s="259"/>
      <c r="AI321" s="259"/>
    </row>
    <row r="322" spans="25:35" ht="15" customHeight="1" x14ac:dyDescent="0.2">
      <c r="Y322" s="259"/>
      <c r="Z322" s="259"/>
      <c r="AA322" s="259"/>
      <c r="AB322" s="259"/>
      <c r="AC322" s="259"/>
      <c r="AD322" s="259"/>
      <c r="AE322" s="259"/>
      <c r="AF322" s="259"/>
      <c r="AG322" s="259"/>
      <c r="AH322" s="259"/>
      <c r="AI322" s="259"/>
    </row>
    <row r="323" spans="25:35" ht="15" customHeight="1" x14ac:dyDescent="0.2">
      <c r="Y323" s="259"/>
      <c r="Z323" s="259"/>
      <c r="AA323" s="259"/>
      <c r="AB323" s="259"/>
      <c r="AC323" s="259"/>
      <c r="AD323" s="259"/>
      <c r="AE323" s="259"/>
      <c r="AF323" s="259"/>
      <c r="AG323" s="259"/>
      <c r="AH323" s="259"/>
      <c r="AI323" s="259"/>
    </row>
    <row r="324" spans="25:35" ht="15" customHeight="1" x14ac:dyDescent="0.2">
      <c r="Y324" s="259"/>
      <c r="Z324" s="259"/>
      <c r="AA324" s="259"/>
      <c r="AB324" s="259"/>
      <c r="AC324" s="259"/>
      <c r="AD324" s="259"/>
      <c r="AE324" s="259"/>
      <c r="AF324" s="259"/>
      <c r="AG324" s="259"/>
      <c r="AH324" s="259"/>
      <c r="AI324" s="259"/>
    </row>
    <row r="325" spans="25:35" ht="15" customHeight="1" x14ac:dyDescent="0.2">
      <c r="Y325" s="259"/>
      <c r="Z325" s="259"/>
      <c r="AA325" s="259"/>
      <c r="AB325" s="259"/>
      <c r="AC325" s="259"/>
      <c r="AD325" s="259"/>
      <c r="AE325" s="259"/>
      <c r="AF325" s="259"/>
      <c r="AG325" s="259"/>
      <c r="AH325" s="259"/>
      <c r="AI325" s="259"/>
    </row>
    <row r="326" spans="25:35" ht="15" customHeight="1" x14ac:dyDescent="0.2">
      <c r="Y326" s="259"/>
      <c r="Z326" s="259"/>
      <c r="AA326" s="259"/>
      <c r="AB326" s="259"/>
      <c r="AC326" s="259"/>
      <c r="AD326" s="259"/>
      <c r="AE326" s="259"/>
      <c r="AF326" s="259"/>
      <c r="AG326" s="259"/>
      <c r="AH326" s="259"/>
      <c r="AI326" s="259"/>
    </row>
    <row r="327" spans="25:35" ht="15" customHeight="1" x14ac:dyDescent="0.2">
      <c r="Y327" s="259"/>
      <c r="Z327" s="259"/>
      <c r="AA327" s="259"/>
      <c r="AB327" s="259"/>
      <c r="AC327" s="259"/>
      <c r="AD327" s="259"/>
      <c r="AE327" s="259"/>
      <c r="AF327" s="259"/>
      <c r="AG327" s="259"/>
      <c r="AH327" s="259"/>
      <c r="AI327" s="259"/>
    </row>
    <row r="328" spans="25:35" ht="15" customHeight="1" x14ac:dyDescent="0.2">
      <c r="Y328" s="259"/>
      <c r="Z328" s="259"/>
      <c r="AA328" s="259"/>
      <c r="AB328" s="259"/>
      <c r="AC328" s="259"/>
      <c r="AD328" s="259"/>
      <c r="AE328" s="259"/>
      <c r="AF328" s="259"/>
      <c r="AG328" s="259"/>
      <c r="AH328" s="259"/>
      <c r="AI328" s="259"/>
    </row>
    <row r="329" spans="25:35" ht="15" customHeight="1" x14ac:dyDescent="0.2">
      <c r="Y329" s="259"/>
      <c r="Z329" s="259"/>
      <c r="AA329" s="259"/>
      <c r="AB329" s="259"/>
      <c r="AC329" s="259"/>
      <c r="AD329" s="259"/>
      <c r="AE329" s="259"/>
      <c r="AF329" s="259"/>
      <c r="AG329" s="259"/>
      <c r="AH329" s="259"/>
      <c r="AI329" s="259"/>
    </row>
    <row r="330" spans="25:35" ht="15" customHeight="1" x14ac:dyDescent="0.2">
      <c r="Y330" s="259"/>
      <c r="Z330" s="259"/>
      <c r="AA330" s="259"/>
      <c r="AB330" s="259"/>
      <c r="AC330" s="259"/>
      <c r="AD330" s="259"/>
      <c r="AE330" s="259"/>
      <c r="AF330" s="259"/>
      <c r="AG330" s="259"/>
      <c r="AH330" s="259"/>
      <c r="AI330" s="259"/>
    </row>
    <row r="331" spans="25:35" ht="15" customHeight="1" x14ac:dyDescent="0.2">
      <c r="Y331" s="259"/>
      <c r="Z331" s="259"/>
      <c r="AA331" s="259"/>
      <c r="AB331" s="259"/>
      <c r="AC331" s="259"/>
      <c r="AD331" s="259"/>
      <c r="AE331" s="259"/>
      <c r="AF331" s="259"/>
      <c r="AG331" s="259"/>
      <c r="AH331" s="259"/>
      <c r="AI331" s="259"/>
    </row>
    <row r="332" spans="25:35" ht="15" customHeight="1" x14ac:dyDescent="0.2">
      <c r="Y332" s="259"/>
      <c r="Z332" s="259"/>
      <c r="AA332" s="267"/>
      <c r="AB332" s="259"/>
      <c r="AC332" s="259"/>
      <c r="AD332" s="259"/>
      <c r="AE332" s="259"/>
      <c r="AF332" s="259"/>
      <c r="AG332" s="259"/>
      <c r="AH332" s="259"/>
      <c r="AI332" s="259"/>
    </row>
    <row r="333" spans="25:35" ht="15" customHeight="1" x14ac:dyDescent="0.2">
      <c r="Y333" s="259"/>
      <c r="Z333" s="259"/>
      <c r="AA333" s="259"/>
      <c r="AB333" s="259"/>
      <c r="AC333" s="259"/>
      <c r="AD333" s="259"/>
      <c r="AE333" s="259"/>
      <c r="AF333" s="259"/>
      <c r="AG333" s="259"/>
      <c r="AH333" s="259"/>
      <c r="AI333" s="259"/>
    </row>
    <row r="334" spans="25:35" ht="15" customHeight="1" x14ac:dyDescent="0.2">
      <c r="Y334" s="259"/>
      <c r="Z334" s="259"/>
      <c r="AA334" s="259"/>
      <c r="AB334" s="259"/>
      <c r="AC334" s="259"/>
      <c r="AD334" s="259"/>
      <c r="AE334" s="259"/>
      <c r="AF334" s="259"/>
      <c r="AG334" s="259"/>
      <c r="AH334" s="259"/>
      <c r="AI334" s="259"/>
    </row>
    <row r="335" spans="25:35" ht="15" customHeight="1" x14ac:dyDescent="0.2">
      <c r="Y335" s="259"/>
      <c r="Z335" s="259"/>
      <c r="AA335" s="259"/>
      <c r="AB335" s="259"/>
      <c r="AC335" s="259"/>
      <c r="AD335" s="259"/>
      <c r="AE335" s="259"/>
      <c r="AF335" s="259"/>
      <c r="AG335" s="259"/>
      <c r="AH335" s="259"/>
      <c r="AI335" s="259"/>
    </row>
    <row r="336" spans="25:35" ht="15" customHeight="1" x14ac:dyDescent="0.2">
      <c r="Y336" s="259"/>
      <c r="Z336" s="259"/>
      <c r="AA336" s="259"/>
      <c r="AB336" s="259"/>
      <c r="AC336" s="259"/>
      <c r="AD336" s="259"/>
      <c r="AE336" s="259"/>
      <c r="AF336" s="259"/>
      <c r="AG336" s="259"/>
      <c r="AH336" s="259"/>
      <c r="AI336" s="259"/>
    </row>
    <row r="337" spans="25:35" ht="15" customHeight="1" x14ac:dyDescent="0.2">
      <c r="Y337" s="259"/>
      <c r="Z337" s="259"/>
      <c r="AA337" s="259"/>
      <c r="AB337" s="259"/>
      <c r="AC337" s="259"/>
      <c r="AD337" s="259"/>
      <c r="AE337" s="259"/>
      <c r="AF337" s="259"/>
      <c r="AG337" s="259"/>
      <c r="AH337" s="259"/>
      <c r="AI337" s="259"/>
    </row>
    <row r="338" spans="25:35" ht="15" customHeight="1" x14ac:dyDescent="0.2">
      <c r="Y338" s="259"/>
      <c r="Z338" s="259"/>
      <c r="AA338" s="259"/>
      <c r="AB338" s="259"/>
      <c r="AC338" s="259"/>
      <c r="AD338" s="259"/>
      <c r="AE338" s="259"/>
      <c r="AF338" s="259"/>
      <c r="AG338" s="259"/>
      <c r="AH338" s="259"/>
      <c r="AI338" s="259"/>
    </row>
    <row r="339" spans="25:35" ht="15" customHeight="1" x14ac:dyDescent="0.2">
      <c r="Y339" s="259"/>
      <c r="Z339" s="259"/>
      <c r="AA339" s="259"/>
      <c r="AB339" s="259"/>
      <c r="AC339" s="259"/>
      <c r="AD339" s="259"/>
      <c r="AE339" s="259"/>
      <c r="AF339" s="259"/>
      <c r="AG339" s="259"/>
      <c r="AH339" s="259"/>
      <c r="AI339" s="259"/>
    </row>
    <row r="340" spans="25:35" ht="15" customHeight="1" x14ac:dyDescent="0.2">
      <c r="Y340" s="259"/>
      <c r="Z340" s="259"/>
      <c r="AA340" s="259"/>
      <c r="AB340" s="259"/>
      <c r="AC340" s="259"/>
      <c r="AD340" s="259"/>
      <c r="AE340" s="259"/>
      <c r="AF340" s="259"/>
      <c r="AG340" s="259"/>
      <c r="AH340" s="259"/>
      <c r="AI340" s="259"/>
    </row>
    <row r="341" spans="25:35" ht="15" customHeight="1" x14ac:dyDescent="0.2">
      <c r="Y341" s="259"/>
      <c r="Z341" s="259"/>
      <c r="AA341" s="259"/>
      <c r="AB341" s="259"/>
      <c r="AC341" s="259"/>
      <c r="AD341" s="259"/>
      <c r="AE341" s="259"/>
      <c r="AF341" s="259"/>
      <c r="AG341" s="259"/>
      <c r="AH341" s="259"/>
      <c r="AI341" s="259"/>
    </row>
    <row r="342" spans="25:35" ht="15" customHeight="1" x14ac:dyDescent="0.2">
      <c r="Y342" s="259"/>
      <c r="Z342" s="259"/>
      <c r="AA342" s="259"/>
      <c r="AB342" s="259"/>
      <c r="AC342" s="259"/>
      <c r="AD342" s="259"/>
      <c r="AE342" s="259"/>
      <c r="AF342" s="259"/>
      <c r="AG342" s="259"/>
      <c r="AH342" s="259"/>
      <c r="AI342" s="259"/>
    </row>
    <row r="343" spans="25:35" ht="15" customHeight="1" x14ac:dyDescent="0.2">
      <c r="Z343" s="259"/>
      <c r="AA343" s="259"/>
      <c r="AB343" s="259"/>
      <c r="AC343" s="259"/>
      <c r="AD343" s="259"/>
      <c r="AE343" s="259"/>
      <c r="AF343" s="259"/>
      <c r="AG343" s="259"/>
      <c r="AH343" s="259"/>
      <c r="AI343" s="259"/>
    </row>
    <row r="344" spans="25:35" ht="15" customHeight="1" x14ac:dyDescent="0.2">
      <c r="Z344" s="259"/>
      <c r="AA344" s="259"/>
      <c r="AB344" s="259"/>
      <c r="AC344" s="259"/>
      <c r="AD344" s="259"/>
      <c r="AE344" s="259"/>
      <c r="AF344" s="259"/>
      <c r="AG344" s="259"/>
      <c r="AH344" s="259"/>
      <c r="AI344" s="259"/>
    </row>
  </sheetData>
  <sheetProtection formatCells="0" selectLockedCells="1"/>
  <mergeCells count="484">
    <mergeCell ref="B113:H115"/>
    <mergeCell ref="I113:O115"/>
    <mergeCell ref="P113:V115"/>
    <mergeCell ref="AD125:AJ126"/>
    <mergeCell ref="Z125:AC126"/>
    <mergeCell ref="Z127:AC128"/>
    <mergeCell ref="Z132:AC134"/>
    <mergeCell ref="Z135:AF136"/>
    <mergeCell ref="Z221:AT226"/>
    <mergeCell ref="B174:V175"/>
    <mergeCell ref="B216:V216"/>
    <mergeCell ref="B219:V226"/>
    <mergeCell ref="Z174:AJ175"/>
    <mergeCell ref="Z178:AT178"/>
    <mergeCell ref="Z183:AM184"/>
    <mergeCell ref="Z185:AM186"/>
    <mergeCell ref="Z189:AM190"/>
    <mergeCell ref="Z195:AM196"/>
    <mergeCell ref="Z197:AT202"/>
    <mergeCell ref="Z204:AT204"/>
    <mergeCell ref="N182:O182"/>
    <mergeCell ref="N183:O183"/>
    <mergeCell ref="N184:O184"/>
    <mergeCell ref="N185:O185"/>
    <mergeCell ref="N186:O186"/>
    <mergeCell ref="Z213:AM214"/>
    <mergeCell ref="AN215:AP216"/>
    <mergeCell ref="AQ215:AQ216"/>
    <mergeCell ref="AQ195:AQ196"/>
    <mergeCell ref="AR195:AT196"/>
    <mergeCell ref="AN207:AP208"/>
    <mergeCell ref="AQ207:AQ208"/>
    <mergeCell ref="S93:V93"/>
    <mergeCell ref="S108:V108"/>
    <mergeCell ref="S110:V110"/>
    <mergeCell ref="S111:V111"/>
    <mergeCell ref="AQ211:AQ212"/>
    <mergeCell ref="AR211:AT212"/>
    <mergeCell ref="N191:O191"/>
    <mergeCell ref="N192:O192"/>
    <mergeCell ref="N190:O190"/>
    <mergeCell ref="AJ154:AL156"/>
    <mergeCell ref="AM154:AT156"/>
    <mergeCell ref="AQ181:AQ182"/>
    <mergeCell ref="Z187:AM188"/>
    <mergeCell ref="AP146:AT146"/>
    <mergeCell ref="AR132:AT134"/>
    <mergeCell ref="AP125:AT126"/>
    <mergeCell ref="S92:V92"/>
    <mergeCell ref="P88:R88"/>
    <mergeCell ref="B90:E90"/>
    <mergeCell ref="C89:D89"/>
    <mergeCell ref="C87:D87"/>
    <mergeCell ref="C88:D88"/>
    <mergeCell ref="E87:G87"/>
    <mergeCell ref="E88:G88"/>
    <mergeCell ref="E89:G89"/>
    <mergeCell ref="S90:V90"/>
    <mergeCell ref="S91:V91"/>
    <mergeCell ref="S62:V62"/>
    <mergeCell ref="N85:O85"/>
    <mergeCell ref="N87:O87"/>
    <mergeCell ref="N88:O88"/>
    <mergeCell ref="N89:O89"/>
    <mergeCell ref="P81:R81"/>
    <mergeCell ref="E82:G82"/>
    <mergeCell ref="P87:R87"/>
    <mergeCell ref="P85:R85"/>
    <mergeCell ref="E79:G79"/>
    <mergeCell ref="N86:O86"/>
    <mergeCell ref="P89:R89"/>
    <mergeCell ref="E84:G84"/>
    <mergeCell ref="N83:O83"/>
    <mergeCell ref="N84:O84"/>
    <mergeCell ref="N82:O82"/>
    <mergeCell ref="E80:G80"/>
    <mergeCell ref="E74:G74"/>
    <mergeCell ref="E68:G68"/>
    <mergeCell ref="E71:G71"/>
    <mergeCell ref="E72:G72"/>
    <mergeCell ref="E85:G85"/>
    <mergeCell ref="E86:G86"/>
    <mergeCell ref="E76:G76"/>
    <mergeCell ref="P83:R83"/>
    <mergeCell ref="P75:R75"/>
    <mergeCell ref="E73:G73"/>
    <mergeCell ref="E83:G83"/>
    <mergeCell ref="E78:G78"/>
    <mergeCell ref="E75:G75"/>
    <mergeCell ref="C78:D78"/>
    <mergeCell ref="C79:D79"/>
    <mergeCell ref="C80:D80"/>
    <mergeCell ref="C83:D83"/>
    <mergeCell ref="C84:D84"/>
    <mergeCell ref="C85:D85"/>
    <mergeCell ref="C86:D86"/>
    <mergeCell ref="E77:G77"/>
    <mergeCell ref="N75:O75"/>
    <mergeCell ref="Z205:AM206"/>
    <mergeCell ref="AN205:AT206"/>
    <mergeCell ref="Z207:AM208"/>
    <mergeCell ref="Z209:AM210"/>
    <mergeCell ref="Z193:AM194"/>
    <mergeCell ref="AR207:AT208"/>
    <mergeCell ref="AR209:AT210"/>
    <mergeCell ref="AN195:AP196"/>
    <mergeCell ref="F182:G182"/>
    <mergeCell ref="F183:G183"/>
    <mergeCell ref="F184:G184"/>
    <mergeCell ref="F185:G185"/>
    <mergeCell ref="F186:G186"/>
    <mergeCell ref="F187:G187"/>
    <mergeCell ref="F188:G188"/>
    <mergeCell ref="F189:G189"/>
    <mergeCell ref="N189:O189"/>
    <mergeCell ref="N187:O187"/>
    <mergeCell ref="N188:O188"/>
    <mergeCell ref="F190:G190"/>
    <mergeCell ref="F191:G191"/>
    <mergeCell ref="F192:G192"/>
    <mergeCell ref="F193:G193"/>
    <mergeCell ref="F194:G194"/>
    <mergeCell ref="F195:G195"/>
    <mergeCell ref="D182:E182"/>
    <mergeCell ref="D183:E183"/>
    <mergeCell ref="D196:E196"/>
    <mergeCell ref="D197:E197"/>
    <mergeCell ref="D184:E184"/>
    <mergeCell ref="D185:E185"/>
    <mergeCell ref="D186:E186"/>
    <mergeCell ref="D187:E187"/>
    <mergeCell ref="D189:E189"/>
    <mergeCell ref="D188:E188"/>
    <mergeCell ref="D190:E190"/>
    <mergeCell ref="D191:E191"/>
    <mergeCell ref="D192:E192"/>
    <mergeCell ref="D193:E193"/>
    <mergeCell ref="D194:E194"/>
    <mergeCell ref="D195:E195"/>
    <mergeCell ref="J178:K178"/>
    <mergeCell ref="H177:K177"/>
    <mergeCell ref="P170:V172"/>
    <mergeCell ref="I170:O172"/>
    <mergeCell ref="D181:E181"/>
    <mergeCell ref="F178:G178"/>
    <mergeCell ref="F179:G180"/>
    <mergeCell ref="F181:G181"/>
    <mergeCell ref="P178:Q178"/>
    <mergeCell ref="P179:Q180"/>
    <mergeCell ref="P181:Q181"/>
    <mergeCell ref="M179:O180"/>
    <mergeCell ref="N181:O181"/>
    <mergeCell ref="C179:E180"/>
    <mergeCell ref="H179:I180"/>
    <mergeCell ref="J179:K180"/>
    <mergeCell ref="H178:I178"/>
    <mergeCell ref="C178:E178"/>
    <mergeCell ref="B170:H172"/>
    <mergeCell ref="T178:U178"/>
    <mergeCell ref="R179:S180"/>
    <mergeCell ref="T179:U180"/>
    <mergeCell ref="M178:O178"/>
    <mergeCell ref="N64:O64"/>
    <mergeCell ref="N65:O65"/>
    <mergeCell ref="P80:R80"/>
    <mergeCell ref="P78:R78"/>
    <mergeCell ref="P82:R82"/>
    <mergeCell ref="P68:R68"/>
    <mergeCell ref="P72:R72"/>
    <mergeCell ref="E81:G81"/>
    <mergeCell ref="N66:O66"/>
    <mergeCell ref="E65:G65"/>
    <mergeCell ref="P77:R77"/>
    <mergeCell ref="N71:O71"/>
    <mergeCell ref="N72:O72"/>
    <mergeCell ref="N76:O76"/>
    <mergeCell ref="B58:H59"/>
    <mergeCell ref="C81:D81"/>
    <mergeCell ref="C82:D82"/>
    <mergeCell ref="C65:D65"/>
    <mergeCell ref="C66:D66"/>
    <mergeCell ref="B63:G63"/>
    <mergeCell ref="H62:K62"/>
    <mergeCell ref="C74:D74"/>
    <mergeCell ref="C75:D75"/>
    <mergeCell ref="C76:D76"/>
    <mergeCell ref="C77:D77"/>
    <mergeCell ref="C64:D64"/>
    <mergeCell ref="C67:D67"/>
    <mergeCell ref="C68:D68"/>
    <mergeCell ref="C69:D69"/>
    <mergeCell ref="C70:D70"/>
    <mergeCell ref="C71:D71"/>
    <mergeCell ref="C72:D72"/>
    <mergeCell ref="C73:D73"/>
    <mergeCell ref="Z2:AT3"/>
    <mergeCell ref="Z4:AM4"/>
    <mergeCell ref="AN4:AT4"/>
    <mergeCell ref="Z5:AM8"/>
    <mergeCell ref="AN5:AT8"/>
    <mergeCell ref="N73:O73"/>
    <mergeCell ref="P73:R73"/>
    <mergeCell ref="N74:O74"/>
    <mergeCell ref="S63:T63"/>
    <mergeCell ref="U63:V63"/>
    <mergeCell ref="M63:R63"/>
    <mergeCell ref="P65:R65"/>
    <mergeCell ref="N69:O69"/>
    <mergeCell ref="N70:O70"/>
    <mergeCell ref="AR18:AT19"/>
    <mergeCell ref="AN18:AQ19"/>
    <mergeCell ref="AK18:AM19"/>
    <mergeCell ref="B61:V61"/>
    <mergeCell ref="P58:V59"/>
    <mergeCell ref="I58:O59"/>
    <mergeCell ref="AG18:AJ19"/>
    <mergeCell ref="AD18:AF19"/>
    <mergeCell ref="Z18:AC19"/>
    <mergeCell ref="Z58:AF60"/>
    <mergeCell ref="Z140:AI141"/>
    <mergeCell ref="Z148:AI148"/>
    <mergeCell ref="Z152:AT153"/>
    <mergeCell ref="Z154:AD156"/>
    <mergeCell ref="Z157:AD159"/>
    <mergeCell ref="Z170:AF172"/>
    <mergeCell ref="AJ145:AO145"/>
    <mergeCell ref="AJ25:AO25"/>
    <mergeCell ref="Z28:AT28"/>
    <mergeCell ref="AG58:AM60"/>
    <mergeCell ref="AA46:AL47"/>
    <mergeCell ref="AD123:AJ124"/>
    <mergeCell ref="AK123:AO124"/>
    <mergeCell ref="AP121:AT122"/>
    <mergeCell ref="Z36:AJ37"/>
    <mergeCell ref="AK36:AT37"/>
    <mergeCell ref="Z117:AM120"/>
    <mergeCell ref="Z121:AC122"/>
    <mergeCell ref="Z123:AC124"/>
    <mergeCell ref="AN116:AT116"/>
    <mergeCell ref="AN117:AT120"/>
    <mergeCell ref="Z62:AI76"/>
    <mergeCell ref="AK62:AT76"/>
    <mergeCell ref="AN58:AT60"/>
    <mergeCell ref="AP123:AT124"/>
    <mergeCell ref="Z78:AI95"/>
    <mergeCell ref="AK78:AT95"/>
    <mergeCell ref="Z114:AT115"/>
    <mergeCell ref="Z116:AM116"/>
    <mergeCell ref="AP25:AT25"/>
    <mergeCell ref="Z26:AI26"/>
    <mergeCell ref="AJ26:AO26"/>
    <mergeCell ref="AP23:AT23"/>
    <mergeCell ref="AP24:AT24"/>
    <mergeCell ref="Z25:AI25"/>
    <mergeCell ref="AP26:AT26"/>
    <mergeCell ref="AJ24:AO24"/>
    <mergeCell ref="Z24:AI24"/>
    <mergeCell ref="Z23:AI23"/>
    <mergeCell ref="AJ23:AO23"/>
    <mergeCell ref="AN213:AP214"/>
    <mergeCell ref="AQ213:AQ214"/>
    <mergeCell ref="AR213:AT214"/>
    <mergeCell ref="Z211:AM212"/>
    <mergeCell ref="AN209:AP210"/>
    <mergeCell ref="AQ209:AQ210"/>
    <mergeCell ref="AN211:AP212"/>
    <mergeCell ref="AD127:AT128"/>
    <mergeCell ref="AD132:AF134"/>
    <mergeCell ref="AN132:AQ134"/>
    <mergeCell ref="AK132:AM134"/>
    <mergeCell ref="AG135:AT136"/>
    <mergeCell ref="AJ142:AO142"/>
    <mergeCell ref="AJ157:AL159"/>
    <mergeCell ref="AM157:AT159"/>
    <mergeCell ref="Z147:AI147"/>
    <mergeCell ref="AJ148:AO148"/>
    <mergeCell ref="AP148:AT148"/>
    <mergeCell ref="AP143:AT143"/>
    <mergeCell ref="AE154:AI156"/>
    <mergeCell ref="AN189:AP190"/>
    <mergeCell ref="AN183:AP184"/>
    <mergeCell ref="AN191:AP192"/>
    <mergeCell ref="AQ191:AQ192"/>
    <mergeCell ref="D206:E206"/>
    <mergeCell ref="D208:E208"/>
    <mergeCell ref="D209:E209"/>
    <mergeCell ref="D210:E210"/>
    <mergeCell ref="D211:E211"/>
    <mergeCell ref="N211:O211"/>
    <mergeCell ref="N209:O209"/>
    <mergeCell ref="N210:O210"/>
    <mergeCell ref="N205:O205"/>
    <mergeCell ref="F205:G205"/>
    <mergeCell ref="F207:G207"/>
    <mergeCell ref="N207:O207"/>
    <mergeCell ref="D214:E214"/>
    <mergeCell ref="N214:O214"/>
    <mergeCell ref="N208:O208"/>
    <mergeCell ref="F206:G206"/>
    <mergeCell ref="D207:E207"/>
    <mergeCell ref="D198:E198"/>
    <mergeCell ref="N203:O203"/>
    <mergeCell ref="N204:O204"/>
    <mergeCell ref="F200:G200"/>
    <mergeCell ref="F201:G201"/>
    <mergeCell ref="F202:G202"/>
    <mergeCell ref="F203:G203"/>
    <mergeCell ref="F204:G204"/>
    <mergeCell ref="N199:O199"/>
    <mergeCell ref="D203:E203"/>
    <mergeCell ref="N200:O200"/>
    <mergeCell ref="D199:E199"/>
    <mergeCell ref="D204:E204"/>
    <mergeCell ref="D200:E200"/>
    <mergeCell ref="D201:E201"/>
    <mergeCell ref="D202:E202"/>
    <mergeCell ref="N201:O201"/>
    <mergeCell ref="N202:O202"/>
    <mergeCell ref="D205:E205"/>
    <mergeCell ref="D212:E212"/>
    <mergeCell ref="N212:O212"/>
    <mergeCell ref="N213:O213"/>
    <mergeCell ref="P209:Q209"/>
    <mergeCell ref="P210:Q210"/>
    <mergeCell ref="P211:Q211"/>
    <mergeCell ref="P212:Q212"/>
    <mergeCell ref="F212:G212"/>
    <mergeCell ref="F213:G213"/>
    <mergeCell ref="F210:G210"/>
    <mergeCell ref="F211:G211"/>
    <mergeCell ref="D213:E213"/>
    <mergeCell ref="Z215:AM216"/>
    <mergeCell ref="AN217:AP218"/>
    <mergeCell ref="AQ217:AQ218"/>
    <mergeCell ref="AN219:AP220"/>
    <mergeCell ref="AQ219:AQ220"/>
    <mergeCell ref="AR219:AT220"/>
    <mergeCell ref="N215:O215"/>
    <mergeCell ref="AR217:AT218"/>
    <mergeCell ref="P215:Q215"/>
    <mergeCell ref="Z219:AM220"/>
    <mergeCell ref="AR215:AT216"/>
    <mergeCell ref="D215:E215"/>
    <mergeCell ref="Z217:AM218"/>
    <mergeCell ref="F215:G215"/>
    <mergeCell ref="AK174:AT175"/>
    <mergeCell ref="AP145:AT145"/>
    <mergeCell ref="AP140:AT141"/>
    <mergeCell ref="AG170:AM172"/>
    <mergeCell ref="Z143:AI143"/>
    <mergeCell ref="AJ146:AO146"/>
    <mergeCell ref="Z145:AI145"/>
    <mergeCell ref="Z146:AI146"/>
    <mergeCell ref="AJ147:AO147"/>
    <mergeCell ref="AP147:AT147"/>
    <mergeCell ref="AP142:AT142"/>
    <mergeCell ref="AE157:AI159"/>
    <mergeCell ref="Z142:AI142"/>
    <mergeCell ref="AJ143:AO143"/>
    <mergeCell ref="AN170:AT172"/>
    <mergeCell ref="AJ144:AO144"/>
    <mergeCell ref="Z144:AI144"/>
    <mergeCell ref="AP144:AT144"/>
    <mergeCell ref="AN179:AT180"/>
    <mergeCell ref="AR181:AT182"/>
    <mergeCell ref="AQ183:AQ184"/>
    <mergeCell ref="B1:H3"/>
    <mergeCell ref="I1:O3"/>
    <mergeCell ref="P1:V3"/>
    <mergeCell ref="N81:O81"/>
    <mergeCell ref="E64:G64"/>
    <mergeCell ref="P67:R67"/>
    <mergeCell ref="P69:R69"/>
    <mergeCell ref="E69:G69"/>
    <mergeCell ref="E67:G67"/>
    <mergeCell ref="P64:R64"/>
    <mergeCell ref="E70:G70"/>
    <mergeCell ref="P70:R70"/>
    <mergeCell ref="N67:O67"/>
    <mergeCell ref="N68:O68"/>
    <mergeCell ref="E66:G66"/>
    <mergeCell ref="P66:R66"/>
    <mergeCell ref="P74:R74"/>
    <mergeCell ref="N77:O77"/>
    <mergeCell ref="N78:O78"/>
    <mergeCell ref="N79:O79"/>
    <mergeCell ref="N80:O80"/>
    <mergeCell ref="P79:R79"/>
    <mergeCell ref="P71:R71"/>
    <mergeCell ref="P76:R76"/>
    <mergeCell ref="AQ189:AQ190"/>
    <mergeCell ref="AR189:AT190"/>
    <mergeCell ref="AR191:AT192"/>
    <mergeCell ref="AQ185:AQ186"/>
    <mergeCell ref="AR193:AT194"/>
    <mergeCell ref="AN193:AP194"/>
    <mergeCell ref="AQ193:AQ194"/>
    <mergeCell ref="AN185:AP186"/>
    <mergeCell ref="AR183:AT184"/>
    <mergeCell ref="AR185:AT186"/>
    <mergeCell ref="AN187:AP188"/>
    <mergeCell ref="AQ187:AQ188"/>
    <mergeCell ref="AR187:AT188"/>
    <mergeCell ref="Z179:AM180"/>
    <mergeCell ref="P189:Q189"/>
    <mergeCell ref="P190:Q190"/>
    <mergeCell ref="P191:Q191"/>
    <mergeCell ref="AJ140:AO141"/>
    <mergeCell ref="AG132:AJ134"/>
    <mergeCell ref="AK121:AO122"/>
    <mergeCell ref="AK125:AO126"/>
    <mergeCell ref="P84:R84"/>
    <mergeCell ref="P86:R86"/>
    <mergeCell ref="R177:U177"/>
    <mergeCell ref="R178:S178"/>
    <mergeCell ref="AD121:AJ122"/>
    <mergeCell ref="P182:Q182"/>
    <mergeCell ref="P183:Q183"/>
    <mergeCell ref="P184:Q184"/>
    <mergeCell ref="P185:Q185"/>
    <mergeCell ref="P186:Q186"/>
    <mergeCell ref="P187:Q187"/>
    <mergeCell ref="P188:Q188"/>
    <mergeCell ref="Z97:AT109"/>
    <mergeCell ref="AN181:AP182"/>
    <mergeCell ref="Z191:AM192"/>
    <mergeCell ref="Z181:AM182"/>
    <mergeCell ref="P199:Q199"/>
    <mergeCell ref="F196:G196"/>
    <mergeCell ref="F197:G197"/>
    <mergeCell ref="F198:G198"/>
    <mergeCell ref="F208:G208"/>
    <mergeCell ref="F209:G209"/>
    <mergeCell ref="P192:Q192"/>
    <mergeCell ref="P200:Q200"/>
    <mergeCell ref="P201:Q201"/>
    <mergeCell ref="P193:Q193"/>
    <mergeCell ref="P194:Q194"/>
    <mergeCell ref="P195:Q195"/>
    <mergeCell ref="P196:Q196"/>
    <mergeCell ref="P197:Q197"/>
    <mergeCell ref="P198:Q198"/>
    <mergeCell ref="N196:O196"/>
    <mergeCell ref="N197:O197"/>
    <mergeCell ref="N193:O193"/>
    <mergeCell ref="N194:O194"/>
    <mergeCell ref="N195:O195"/>
    <mergeCell ref="F199:G199"/>
    <mergeCell ref="N198:O198"/>
    <mergeCell ref="F214:G214"/>
    <mergeCell ref="P202:Q202"/>
    <mergeCell ref="P203:Q203"/>
    <mergeCell ref="P213:Q213"/>
    <mergeCell ref="P214:Q214"/>
    <mergeCell ref="P204:Q204"/>
    <mergeCell ref="P205:Q205"/>
    <mergeCell ref="P206:Q206"/>
    <mergeCell ref="P207:Q207"/>
    <mergeCell ref="P208:Q208"/>
    <mergeCell ref="N206:O206"/>
    <mergeCell ref="Z15:AC16"/>
    <mergeCell ref="Z13:AC14"/>
    <mergeCell ref="Z11:AC12"/>
    <mergeCell ref="Z9:AC10"/>
    <mergeCell ref="AM32:AT34"/>
    <mergeCell ref="AJ32:AL34"/>
    <mergeCell ref="AE32:AI34"/>
    <mergeCell ref="Z32:AD34"/>
    <mergeCell ref="AM29:AT31"/>
    <mergeCell ref="AJ29:AL31"/>
    <mergeCell ref="AE29:AI31"/>
    <mergeCell ref="Z29:AD31"/>
    <mergeCell ref="AD15:AT16"/>
    <mergeCell ref="AP13:AT14"/>
    <mergeCell ref="AK13:AO14"/>
    <mergeCell ref="AP11:AT12"/>
    <mergeCell ref="AK11:AO12"/>
    <mergeCell ref="AP9:AT10"/>
    <mergeCell ref="AK9:AO10"/>
    <mergeCell ref="AD13:AJ14"/>
    <mergeCell ref="AD11:AJ12"/>
    <mergeCell ref="AD9:AJ10"/>
    <mergeCell ref="AG20:AT21"/>
    <mergeCell ref="Z20:AF21"/>
  </mergeCells>
  <phoneticPr fontId="9" type="noConversion"/>
  <conditionalFormatting sqref="AK121 X57:AU57 X169:AU169">
    <cfRule type="expression" dxfId="15" priority="9">
      <formula>$AP$9="J.M.POUTEAU"</formula>
    </cfRule>
    <cfRule type="expression" dxfId="14" priority="10">
      <formula>$AP$9="C.ARMANGE"</formula>
    </cfRule>
    <cfRule type="expression" dxfId="13" priority="11">
      <formula>$AP$9="J.THORAVAL"</formula>
    </cfRule>
    <cfRule type="expression" dxfId="12" priority="12">
      <formula>$AP$9="J.OLCHANOWSKA"</formula>
    </cfRule>
    <cfRule type="expression" dxfId="11" priority="13">
      <formula>$AP$9="O.DARDIER"</formula>
    </cfRule>
    <cfRule type="expression" dxfId="10" priority="15">
      <formula>$AP$9="F.HALNA"</formula>
    </cfRule>
    <cfRule type="expression" dxfId="9" priority="16">
      <formula>$AP$9="S.GORON"</formula>
    </cfRule>
    <cfRule type="expression" dxfId="8" priority="17">
      <formula>$AP$9="V.MICHEL"</formula>
    </cfRule>
  </conditionalFormatting>
  <conditionalFormatting sqref="AK9">
    <cfRule type="expression" dxfId="7" priority="1">
      <formula>$AP$9="J.M.POUTEAU"</formula>
    </cfRule>
    <cfRule type="expression" dxfId="6" priority="2">
      <formula>$AP$9="C.ARMANGE"</formula>
    </cfRule>
    <cfRule type="expression" dxfId="5" priority="3">
      <formula>$AP$9="J.THORAVAL"</formula>
    </cfRule>
    <cfRule type="expression" dxfId="4" priority="4">
      <formula>$AP$9="J.OLCHANOWSKA"</formula>
    </cfRule>
    <cfRule type="expression" dxfId="3" priority="5">
      <formula>$AP$9="O.DARDIER"</formula>
    </cfRule>
    <cfRule type="expression" dxfId="2" priority="6">
      <formula>$AP$9="F.HALNA"</formula>
    </cfRule>
    <cfRule type="expression" dxfId="1" priority="7">
      <formula>$AP$9="S.GORON"</formula>
    </cfRule>
    <cfRule type="expression" dxfId="0" priority="8">
      <formula>$AP$9="V.MICHEL"</formula>
    </cfRule>
  </conditionalFormatting>
  <dataValidations count="3">
    <dataValidation type="list" allowBlank="1" showInputMessage="1" showErrorMessage="1" sqref="AP11" xr:uid="{EC827B81-755F-4E99-BB3B-67C7E121C369}">
      <formula1>$AZ$5:$AZ$13</formula1>
    </dataValidation>
    <dataValidation type="list" allowBlank="1" showInputMessage="1" showErrorMessage="1" sqref="AP9:AT10" xr:uid="{A92E1CC2-C55E-45BB-B61A-2B7D88A90518}">
      <formula1>$AX$5:$AX$16</formula1>
    </dataValidation>
    <dataValidation type="list" allowBlank="1" showInputMessage="1" showErrorMessage="1" sqref="AP13:AT14" xr:uid="{007D91D2-2657-491C-B646-C4D457BE105A}">
      <formula1>$BB$5:$BB$23</formula1>
    </dataValidation>
  </dataValidations>
  <printOptions horizontalCentered="1" verticalCentered="1"/>
  <pageMargins left="0.23622047244094491" right="0.23622047244094491" top="0.15748031496062992" bottom="0.15748031496062992" header="0.31496062992125984" footer="0.31496062992125984"/>
  <pageSetup paperSize="8" scale="81" fitToHeight="0" orientation="landscape" r:id="rId1"/>
  <headerFooter>
    <oddFooter>Page &amp;P</oddFooter>
  </headerFooter>
  <rowBreaks count="4" manualBreakCount="4">
    <brk id="57" max="16383" man="1"/>
    <brk id="112" max="16383" man="1"/>
    <brk id="169" max="16383" man="1"/>
    <brk id="249" max="5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E3627-F86A-4BA8-BE41-68CD7483002A}">
  <dimension ref="A1"/>
  <sheetViews>
    <sheetView workbookViewId="0"/>
  </sheetViews>
  <sheetFormatPr baseColWidth="10" defaultRowHeight="12.7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N100"/>
  <sheetViews>
    <sheetView topLeftCell="A31" workbookViewId="0">
      <selection activeCell="A20" sqref="A20"/>
    </sheetView>
  </sheetViews>
  <sheetFormatPr baseColWidth="10" defaultRowHeight="12.75" x14ac:dyDescent="0.2"/>
  <cols>
    <col min="1" max="1" width="22.5703125" style="11" customWidth="1"/>
    <col min="2" max="6" width="11.42578125" style="11"/>
    <col min="7" max="7" width="24.42578125" style="11" customWidth="1"/>
    <col min="8" max="8" width="11.42578125" style="11"/>
    <col min="9" max="9" width="34.42578125" style="11" customWidth="1"/>
    <col min="10" max="10" width="33.7109375" style="11" customWidth="1"/>
    <col min="11" max="14" width="11.42578125" style="11"/>
  </cols>
  <sheetData>
    <row r="1" spans="1:14" x14ac:dyDescent="0.2">
      <c r="A1" s="2" t="s">
        <v>15</v>
      </c>
      <c r="B1" s="2" t="s">
        <v>9</v>
      </c>
      <c r="C1" s="2" t="s">
        <v>29</v>
      </c>
      <c r="D1" s="2" t="s">
        <v>28</v>
      </c>
      <c r="E1" s="2" t="s">
        <v>30</v>
      </c>
      <c r="F1" s="2" t="s">
        <v>31</v>
      </c>
      <c r="G1" s="2" t="s">
        <v>32</v>
      </c>
      <c r="H1" s="2" t="s">
        <v>33</v>
      </c>
      <c r="I1" s="2" t="s">
        <v>454</v>
      </c>
      <c r="J1" s="2" t="s">
        <v>455</v>
      </c>
      <c r="K1" s="2" t="s">
        <v>48</v>
      </c>
      <c r="L1" s="2" t="s">
        <v>76</v>
      </c>
      <c r="M1" s="3"/>
      <c r="N1" s="11" t="s">
        <v>196</v>
      </c>
    </row>
    <row r="2" spans="1:14" x14ac:dyDescent="0.2">
      <c r="A2" s="4" t="s">
        <v>57</v>
      </c>
      <c r="B2" s="3" t="s">
        <v>57</v>
      </c>
      <c r="C2" s="3"/>
      <c r="D2" s="3"/>
      <c r="E2" s="5"/>
      <c r="F2" s="3"/>
      <c r="G2" s="3"/>
      <c r="H2" s="3"/>
      <c r="I2" s="3"/>
      <c r="J2" s="3"/>
      <c r="K2" s="3">
        <v>0</v>
      </c>
      <c r="L2" s="3"/>
      <c r="M2" s="3"/>
    </row>
    <row r="3" spans="1:14" x14ac:dyDescent="0.2">
      <c r="A3" s="4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3"/>
    </row>
    <row r="4" spans="1:14" x14ac:dyDescent="0.2">
      <c r="A4" s="4" t="s">
        <v>350</v>
      </c>
      <c r="B4" s="5" t="s">
        <v>82</v>
      </c>
      <c r="C4" s="5">
        <v>3</v>
      </c>
      <c r="D4" s="5" t="s">
        <v>351</v>
      </c>
      <c r="E4" s="5">
        <v>2</v>
      </c>
      <c r="F4" s="5">
        <v>2000</v>
      </c>
      <c r="G4" s="5" t="s">
        <v>352</v>
      </c>
      <c r="H4" s="5" t="s">
        <v>75</v>
      </c>
      <c r="I4" s="5" t="s">
        <v>197</v>
      </c>
      <c r="J4" s="5" t="s">
        <v>34</v>
      </c>
      <c r="K4" s="5">
        <v>2.2000000000000002</v>
      </c>
      <c r="L4" s="5" t="s">
        <v>50</v>
      </c>
      <c r="M4" s="3" t="s">
        <v>84</v>
      </c>
      <c r="N4" s="11">
        <v>10</v>
      </c>
    </row>
    <row r="5" spans="1:14" x14ac:dyDescent="0.2">
      <c r="A5" s="4" t="s">
        <v>210</v>
      </c>
      <c r="B5" s="5" t="s">
        <v>82</v>
      </c>
      <c r="C5" s="5">
        <v>4.5</v>
      </c>
      <c r="D5" s="5" t="s">
        <v>351</v>
      </c>
      <c r="E5" s="5">
        <v>2</v>
      </c>
      <c r="F5" s="5">
        <v>3000</v>
      </c>
      <c r="G5" s="5" t="s">
        <v>352</v>
      </c>
      <c r="H5" s="5" t="s">
        <v>75</v>
      </c>
      <c r="I5" s="5" t="s">
        <v>197</v>
      </c>
      <c r="J5" s="5" t="s">
        <v>34</v>
      </c>
      <c r="K5" s="5">
        <v>3.3</v>
      </c>
      <c r="L5" s="5" t="s">
        <v>50</v>
      </c>
      <c r="M5" s="3" t="s">
        <v>84</v>
      </c>
      <c r="N5" s="11">
        <v>15</v>
      </c>
    </row>
    <row r="6" spans="1:14" x14ac:dyDescent="0.2">
      <c r="A6" s="4" t="s">
        <v>353</v>
      </c>
      <c r="B6" s="5" t="s">
        <v>82</v>
      </c>
      <c r="C6" s="5">
        <v>5.52</v>
      </c>
      <c r="D6" s="5" t="s">
        <v>351</v>
      </c>
      <c r="E6" s="5">
        <v>2</v>
      </c>
      <c r="F6" s="5">
        <v>3680</v>
      </c>
      <c r="G6" s="5" t="s">
        <v>352</v>
      </c>
      <c r="H6" s="5" t="s">
        <v>75</v>
      </c>
      <c r="I6" s="5" t="s">
        <v>197</v>
      </c>
      <c r="J6" s="5" t="s">
        <v>34</v>
      </c>
      <c r="K6" s="5">
        <v>3.68</v>
      </c>
      <c r="L6" s="5" t="s">
        <v>50</v>
      </c>
      <c r="M6" s="3" t="s">
        <v>84</v>
      </c>
      <c r="N6" s="11">
        <v>16</v>
      </c>
    </row>
    <row r="7" spans="1:14" x14ac:dyDescent="0.2">
      <c r="A7" s="4" t="s">
        <v>354</v>
      </c>
      <c r="B7" s="5" t="s">
        <v>82</v>
      </c>
      <c r="C7" s="5">
        <v>6</v>
      </c>
      <c r="D7" s="5" t="s">
        <v>351</v>
      </c>
      <c r="E7" s="5">
        <v>2</v>
      </c>
      <c r="F7" s="5">
        <v>4000</v>
      </c>
      <c r="G7" s="5" t="s">
        <v>352</v>
      </c>
      <c r="H7" s="5" t="s">
        <v>75</v>
      </c>
      <c r="I7" s="5" t="s">
        <v>197</v>
      </c>
      <c r="J7" s="5" t="s">
        <v>34</v>
      </c>
      <c r="K7" s="5">
        <v>4.4000000000000004</v>
      </c>
      <c r="L7" s="5" t="s">
        <v>50</v>
      </c>
      <c r="M7" s="1" t="s">
        <v>84</v>
      </c>
      <c r="N7" s="11">
        <v>20</v>
      </c>
    </row>
    <row r="8" spans="1:14" x14ac:dyDescent="0.2">
      <c r="A8" s="6" t="s">
        <v>355</v>
      </c>
      <c r="B8" s="7" t="s">
        <v>82</v>
      </c>
      <c r="C8" s="7">
        <v>6.9</v>
      </c>
      <c r="D8" s="7" t="s">
        <v>351</v>
      </c>
      <c r="E8" s="7">
        <v>2</v>
      </c>
      <c r="F8" s="7">
        <v>4600</v>
      </c>
      <c r="G8" s="7" t="s">
        <v>352</v>
      </c>
      <c r="H8" s="7" t="s">
        <v>75</v>
      </c>
      <c r="I8" s="7" t="s">
        <v>197</v>
      </c>
      <c r="J8" s="7" t="s">
        <v>34</v>
      </c>
      <c r="K8" s="7">
        <v>5</v>
      </c>
      <c r="L8" s="7" t="s">
        <v>50</v>
      </c>
      <c r="M8" s="3" t="s">
        <v>84</v>
      </c>
      <c r="N8" s="11">
        <v>23</v>
      </c>
    </row>
    <row r="9" spans="1:14" x14ac:dyDescent="0.2">
      <c r="A9" s="8" t="s">
        <v>356</v>
      </c>
      <c r="B9" s="9" t="s">
        <v>82</v>
      </c>
      <c r="C9" s="9">
        <v>7.5</v>
      </c>
      <c r="D9" s="9" t="s">
        <v>351</v>
      </c>
      <c r="E9" s="9">
        <v>2</v>
      </c>
      <c r="F9" s="9">
        <v>5000</v>
      </c>
      <c r="G9" s="9" t="s">
        <v>352</v>
      </c>
      <c r="H9" s="9" t="s">
        <v>75</v>
      </c>
      <c r="I9" s="9" t="s">
        <v>197</v>
      </c>
      <c r="J9" s="9" t="s">
        <v>34</v>
      </c>
      <c r="K9" s="9">
        <v>5.5</v>
      </c>
      <c r="L9" s="9" t="s">
        <v>50</v>
      </c>
      <c r="M9" s="10" t="s">
        <v>84</v>
      </c>
      <c r="N9" s="11">
        <v>25</v>
      </c>
    </row>
    <row r="10" spans="1:14" x14ac:dyDescent="0.2">
      <c r="A10" s="8" t="s">
        <v>357</v>
      </c>
      <c r="B10" s="9" t="s">
        <v>82</v>
      </c>
      <c r="C10" s="9">
        <v>9</v>
      </c>
      <c r="D10" s="9" t="s">
        <v>351</v>
      </c>
      <c r="E10" s="9">
        <v>2</v>
      </c>
      <c r="F10" s="9">
        <v>6000</v>
      </c>
      <c r="G10" s="9" t="s">
        <v>352</v>
      </c>
      <c r="H10" s="9" t="s">
        <v>75</v>
      </c>
      <c r="I10" s="9" t="s">
        <v>197</v>
      </c>
      <c r="J10" s="9" t="s">
        <v>34</v>
      </c>
      <c r="K10" s="9">
        <v>6</v>
      </c>
      <c r="L10" s="9" t="s">
        <v>50</v>
      </c>
      <c r="M10" s="10" t="s">
        <v>84</v>
      </c>
      <c r="N10" s="11">
        <v>27.3</v>
      </c>
    </row>
    <row r="11" spans="1:14" x14ac:dyDescent="0.2">
      <c r="A11" s="8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10"/>
    </row>
    <row r="12" spans="1:14" x14ac:dyDescent="0.2">
      <c r="A12" s="8" t="s">
        <v>214</v>
      </c>
      <c r="B12" s="9" t="s">
        <v>82</v>
      </c>
      <c r="C12" s="9">
        <v>6150</v>
      </c>
      <c r="D12" s="9" t="s">
        <v>211</v>
      </c>
      <c r="E12" s="9" t="s">
        <v>212</v>
      </c>
      <c r="F12" s="9">
        <v>3000</v>
      </c>
      <c r="G12" s="9" t="s">
        <v>213</v>
      </c>
      <c r="H12" s="9" t="s">
        <v>66</v>
      </c>
      <c r="I12" s="9" t="s">
        <v>70</v>
      </c>
      <c r="J12" s="9" t="s">
        <v>34</v>
      </c>
      <c r="K12" s="9">
        <v>3.3</v>
      </c>
      <c r="L12" s="9" t="s">
        <v>49</v>
      </c>
      <c r="M12" s="10" t="s">
        <v>84</v>
      </c>
      <c r="N12" s="11">
        <v>5.0999999999999996</v>
      </c>
    </row>
    <row r="13" spans="1:14" x14ac:dyDescent="0.2">
      <c r="A13" s="8" t="s">
        <v>215</v>
      </c>
      <c r="B13" s="9" t="s">
        <v>82</v>
      </c>
      <c r="C13" s="9">
        <v>8200</v>
      </c>
      <c r="D13" s="9" t="s">
        <v>216</v>
      </c>
      <c r="E13" s="9" t="s">
        <v>212</v>
      </c>
      <c r="F13" s="9">
        <v>4000</v>
      </c>
      <c r="G13" s="9" t="s">
        <v>213</v>
      </c>
      <c r="H13" s="9" t="s">
        <v>66</v>
      </c>
      <c r="I13" s="9" t="s">
        <v>70</v>
      </c>
      <c r="J13" s="9" t="s">
        <v>34</v>
      </c>
      <c r="K13" s="9">
        <v>4.4000000000000004</v>
      </c>
      <c r="L13" s="9" t="s">
        <v>49</v>
      </c>
      <c r="M13" s="10" t="s">
        <v>84</v>
      </c>
      <c r="N13" s="11">
        <v>6.8</v>
      </c>
    </row>
    <row r="14" spans="1:14" x14ac:dyDescent="0.2">
      <c r="A14" s="8" t="s">
        <v>217</v>
      </c>
      <c r="B14" s="9" t="s">
        <v>82</v>
      </c>
      <c r="C14" s="9">
        <v>10250</v>
      </c>
      <c r="D14" s="9" t="s">
        <v>218</v>
      </c>
      <c r="E14" s="9" t="s">
        <v>212</v>
      </c>
      <c r="F14" s="9">
        <v>5000</v>
      </c>
      <c r="G14" s="9" t="s">
        <v>213</v>
      </c>
      <c r="H14" s="9" t="s">
        <v>66</v>
      </c>
      <c r="I14" s="9" t="s">
        <v>70</v>
      </c>
      <c r="J14" s="9" t="s">
        <v>34</v>
      </c>
      <c r="K14" s="9">
        <v>5.5</v>
      </c>
      <c r="L14" s="9" t="s">
        <v>49</v>
      </c>
      <c r="M14" s="10" t="s">
        <v>84</v>
      </c>
      <c r="N14" s="11">
        <v>8.5</v>
      </c>
    </row>
    <row r="15" spans="1:14" x14ac:dyDescent="0.2">
      <c r="A15" s="8" t="s">
        <v>219</v>
      </c>
      <c r="B15" s="9" t="s">
        <v>82</v>
      </c>
      <c r="C15" s="9">
        <v>12300</v>
      </c>
      <c r="D15" s="9" t="s">
        <v>220</v>
      </c>
      <c r="E15" s="9" t="s">
        <v>212</v>
      </c>
      <c r="F15" s="9">
        <v>6000</v>
      </c>
      <c r="G15" s="9" t="s">
        <v>213</v>
      </c>
      <c r="H15" s="9" t="s">
        <v>66</v>
      </c>
      <c r="I15" s="9" t="s">
        <v>70</v>
      </c>
      <c r="J15" s="9" t="s">
        <v>34</v>
      </c>
      <c r="K15" s="9">
        <v>6.6</v>
      </c>
      <c r="L15" s="9" t="s">
        <v>49</v>
      </c>
      <c r="M15" s="10" t="s">
        <v>84</v>
      </c>
      <c r="N15" s="11">
        <v>10.1</v>
      </c>
    </row>
    <row r="16" spans="1:14" x14ac:dyDescent="0.2">
      <c r="A16" s="8" t="s">
        <v>221</v>
      </c>
      <c r="B16" s="9" t="s">
        <v>82</v>
      </c>
      <c r="C16" s="9">
        <v>14.88</v>
      </c>
      <c r="D16" s="9" t="s">
        <v>222</v>
      </c>
      <c r="E16" s="9" t="s">
        <v>212</v>
      </c>
      <c r="F16" s="9">
        <v>8000</v>
      </c>
      <c r="G16" s="9" t="s">
        <v>213</v>
      </c>
      <c r="H16" s="9" t="s">
        <v>66</v>
      </c>
      <c r="I16" s="9" t="s">
        <v>70</v>
      </c>
      <c r="J16" s="9" t="s">
        <v>34</v>
      </c>
      <c r="K16" s="9">
        <v>8.8000000000000007</v>
      </c>
      <c r="L16" s="9" t="s">
        <v>49</v>
      </c>
      <c r="M16" s="10" t="s">
        <v>84</v>
      </c>
      <c r="N16" s="11">
        <v>13.5</v>
      </c>
    </row>
    <row r="17" spans="1:14" x14ac:dyDescent="0.2">
      <c r="A17" s="8" t="s">
        <v>223</v>
      </c>
      <c r="B17" s="9" t="s">
        <v>82</v>
      </c>
      <c r="C17" s="9">
        <v>14.88</v>
      </c>
      <c r="D17" s="9" t="s">
        <v>224</v>
      </c>
      <c r="E17" s="9" t="s">
        <v>212</v>
      </c>
      <c r="F17" s="9">
        <v>10000</v>
      </c>
      <c r="G17" s="9" t="s">
        <v>213</v>
      </c>
      <c r="H17" s="9" t="s">
        <v>66</v>
      </c>
      <c r="I17" s="9" t="s">
        <v>70</v>
      </c>
      <c r="J17" s="9" t="s">
        <v>34</v>
      </c>
      <c r="K17" s="9">
        <v>11</v>
      </c>
      <c r="L17" s="9" t="s">
        <v>49</v>
      </c>
      <c r="M17" s="10" t="s">
        <v>84</v>
      </c>
      <c r="N17" s="11">
        <v>16.899999999999999</v>
      </c>
    </row>
    <row r="18" spans="1:14" x14ac:dyDescent="0.2">
      <c r="A18" s="8" t="s">
        <v>225</v>
      </c>
      <c r="B18" s="9" t="s">
        <v>82</v>
      </c>
      <c r="C18" s="9">
        <v>24</v>
      </c>
      <c r="D18" s="9" t="s">
        <v>226</v>
      </c>
      <c r="E18" s="9" t="s">
        <v>83</v>
      </c>
      <c r="F18" s="9">
        <v>12000</v>
      </c>
      <c r="G18" s="9" t="s">
        <v>227</v>
      </c>
      <c r="H18" s="9" t="s">
        <v>66</v>
      </c>
      <c r="I18" s="9" t="s">
        <v>70</v>
      </c>
      <c r="J18" s="9" t="s">
        <v>34</v>
      </c>
      <c r="K18" s="9">
        <v>13.2</v>
      </c>
      <c r="L18" s="9" t="s">
        <v>49</v>
      </c>
      <c r="M18" s="10" t="s">
        <v>84</v>
      </c>
      <c r="N18" s="11">
        <v>19.2</v>
      </c>
    </row>
    <row r="19" spans="1:14" x14ac:dyDescent="0.2">
      <c r="A19" s="8" t="s">
        <v>228</v>
      </c>
      <c r="B19" s="9" t="s">
        <v>82</v>
      </c>
      <c r="C19" s="9">
        <v>26.88</v>
      </c>
      <c r="D19" s="9" t="s">
        <v>226</v>
      </c>
      <c r="E19" s="9" t="s">
        <v>83</v>
      </c>
      <c r="F19" s="9">
        <v>15000</v>
      </c>
      <c r="G19" s="9" t="s">
        <v>229</v>
      </c>
      <c r="H19" s="9" t="s">
        <v>66</v>
      </c>
      <c r="I19" s="9" t="s">
        <v>70</v>
      </c>
      <c r="J19" s="9" t="s">
        <v>34</v>
      </c>
      <c r="K19" s="9">
        <v>16.5</v>
      </c>
      <c r="L19" s="9" t="s">
        <v>49</v>
      </c>
      <c r="M19" s="10" t="s">
        <v>84</v>
      </c>
      <c r="N19" s="11">
        <v>30</v>
      </c>
    </row>
    <row r="20" spans="1:14" x14ac:dyDescent="0.2">
      <c r="A20" s="8" t="s">
        <v>230</v>
      </c>
      <c r="B20" s="9" t="s">
        <v>82</v>
      </c>
      <c r="C20" s="9">
        <v>26.88</v>
      </c>
      <c r="D20" s="9" t="s">
        <v>226</v>
      </c>
      <c r="E20" s="9" t="s">
        <v>83</v>
      </c>
      <c r="F20" s="9">
        <v>17000</v>
      </c>
      <c r="G20" s="9" t="s">
        <v>229</v>
      </c>
      <c r="H20" s="9" t="s">
        <v>66</v>
      </c>
      <c r="I20" s="9" t="s">
        <v>70</v>
      </c>
      <c r="J20" s="9" t="s">
        <v>34</v>
      </c>
      <c r="K20" s="9">
        <v>18.7</v>
      </c>
      <c r="L20" s="9" t="s">
        <v>49</v>
      </c>
      <c r="M20" s="10" t="s">
        <v>84</v>
      </c>
      <c r="N20" s="11">
        <v>28.5</v>
      </c>
    </row>
    <row r="21" spans="1:14" x14ac:dyDescent="0.2">
      <c r="A21" s="8" t="s">
        <v>231</v>
      </c>
      <c r="B21" s="9" t="s">
        <v>82</v>
      </c>
      <c r="C21" s="9">
        <v>26.88</v>
      </c>
      <c r="D21" s="9" t="s">
        <v>226</v>
      </c>
      <c r="E21" s="9" t="s">
        <v>83</v>
      </c>
      <c r="F21" s="9">
        <v>20000</v>
      </c>
      <c r="G21" s="9" t="s">
        <v>229</v>
      </c>
      <c r="H21" s="9" t="s">
        <v>66</v>
      </c>
      <c r="I21" s="9" t="s">
        <v>70</v>
      </c>
      <c r="J21" s="9" t="s">
        <v>34</v>
      </c>
      <c r="K21" s="9">
        <v>22</v>
      </c>
      <c r="L21" s="9" t="s">
        <v>49</v>
      </c>
      <c r="M21" s="10" t="s">
        <v>84</v>
      </c>
      <c r="N21" s="11">
        <v>32</v>
      </c>
    </row>
    <row r="22" spans="1:14" x14ac:dyDescent="0.2">
      <c r="A22" s="8" t="s">
        <v>104</v>
      </c>
      <c r="B22" s="9" t="s">
        <v>82</v>
      </c>
      <c r="C22" s="9">
        <v>33.799999999999997</v>
      </c>
      <c r="D22" s="9" t="s">
        <v>85</v>
      </c>
      <c r="E22" s="9">
        <v>8</v>
      </c>
      <c r="F22" s="9">
        <v>30000</v>
      </c>
      <c r="G22" s="9" t="s">
        <v>105</v>
      </c>
      <c r="H22" s="9" t="s">
        <v>66</v>
      </c>
      <c r="I22" s="9" t="s">
        <v>70</v>
      </c>
      <c r="J22" s="9" t="s">
        <v>34</v>
      </c>
      <c r="K22" s="9">
        <v>33</v>
      </c>
      <c r="L22" s="9" t="s">
        <v>49</v>
      </c>
      <c r="M22" s="10" t="s">
        <v>84</v>
      </c>
      <c r="N22" s="11">
        <v>48</v>
      </c>
    </row>
    <row r="23" spans="1:14" x14ac:dyDescent="0.2">
      <c r="A23" s="8" t="s">
        <v>358</v>
      </c>
      <c r="B23" s="9" t="s">
        <v>82</v>
      </c>
      <c r="C23" s="9">
        <v>40</v>
      </c>
      <c r="D23" s="9" t="s">
        <v>113</v>
      </c>
      <c r="E23" s="9">
        <v>8</v>
      </c>
      <c r="F23" s="9">
        <v>36000</v>
      </c>
      <c r="G23" s="9" t="s">
        <v>359</v>
      </c>
      <c r="H23" s="9" t="s">
        <v>66</v>
      </c>
      <c r="I23" s="9" t="s">
        <v>70</v>
      </c>
      <c r="J23" s="9" t="s">
        <v>34</v>
      </c>
      <c r="K23" s="9">
        <v>40</v>
      </c>
      <c r="L23" s="9" t="s">
        <v>49</v>
      </c>
      <c r="M23" s="10" t="s">
        <v>84</v>
      </c>
      <c r="N23" s="11">
        <v>57.8</v>
      </c>
    </row>
    <row r="24" spans="1:14" x14ac:dyDescent="0.2">
      <c r="A24" s="8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10"/>
    </row>
    <row r="25" spans="1:14" x14ac:dyDescent="0.2">
      <c r="A25" s="8" t="s">
        <v>551</v>
      </c>
      <c r="B25" s="9" t="s">
        <v>82</v>
      </c>
      <c r="C25" s="9">
        <v>20</v>
      </c>
      <c r="D25" s="9" t="s">
        <v>113</v>
      </c>
      <c r="E25" s="9">
        <v>4</v>
      </c>
      <c r="F25" s="9">
        <v>20000</v>
      </c>
      <c r="G25" s="9" t="s">
        <v>229</v>
      </c>
      <c r="H25" s="9" t="s">
        <v>75</v>
      </c>
      <c r="I25" s="9" t="s">
        <v>70</v>
      </c>
      <c r="J25" s="9" t="s">
        <v>34</v>
      </c>
      <c r="K25" s="9">
        <v>20</v>
      </c>
      <c r="L25" s="9" t="s">
        <v>49</v>
      </c>
      <c r="M25" s="10" t="s">
        <v>84</v>
      </c>
      <c r="N25" s="11">
        <v>33.5</v>
      </c>
    </row>
    <row r="26" spans="1:14" x14ac:dyDescent="0.2">
      <c r="A26" s="8" t="s">
        <v>360</v>
      </c>
      <c r="B26" s="9" t="s">
        <v>82</v>
      </c>
      <c r="C26" s="9">
        <v>33</v>
      </c>
      <c r="D26" s="9" t="s">
        <v>113</v>
      </c>
      <c r="E26" s="9">
        <v>8</v>
      </c>
      <c r="F26" s="9">
        <v>30000</v>
      </c>
      <c r="G26" s="9" t="s">
        <v>361</v>
      </c>
      <c r="H26" s="9" t="s">
        <v>362</v>
      </c>
      <c r="I26" s="9" t="s">
        <v>70</v>
      </c>
      <c r="J26" s="9" t="s">
        <v>34</v>
      </c>
      <c r="K26" s="9">
        <v>30</v>
      </c>
      <c r="L26" s="9" t="s">
        <v>49</v>
      </c>
      <c r="M26" s="10" t="s">
        <v>84</v>
      </c>
      <c r="N26" s="11">
        <v>47.9</v>
      </c>
    </row>
    <row r="27" spans="1:14" x14ac:dyDescent="0.2">
      <c r="A27" s="8" t="s">
        <v>613</v>
      </c>
      <c r="B27" s="9" t="s">
        <v>82</v>
      </c>
      <c r="C27" s="9">
        <v>33</v>
      </c>
      <c r="D27" s="9" t="s">
        <v>113</v>
      </c>
      <c r="E27" s="9">
        <v>8</v>
      </c>
      <c r="F27" s="9">
        <v>27000</v>
      </c>
      <c r="G27" s="9" t="s">
        <v>361</v>
      </c>
      <c r="H27" s="9" t="s">
        <v>362</v>
      </c>
      <c r="I27" s="9" t="s">
        <v>70</v>
      </c>
      <c r="J27" s="9" t="s">
        <v>34</v>
      </c>
      <c r="K27" s="9">
        <v>30</v>
      </c>
      <c r="L27" s="9" t="s">
        <v>49</v>
      </c>
      <c r="M27" s="10" t="s">
        <v>84</v>
      </c>
      <c r="N27" s="11">
        <v>47.9</v>
      </c>
    </row>
    <row r="28" spans="1:14" x14ac:dyDescent="0.2">
      <c r="A28" s="8" t="s">
        <v>363</v>
      </c>
      <c r="B28" s="9" t="s">
        <v>82</v>
      </c>
      <c r="C28" s="9">
        <v>40</v>
      </c>
      <c r="D28" s="9" t="s">
        <v>113</v>
      </c>
      <c r="E28" s="9">
        <v>8</v>
      </c>
      <c r="F28" s="9">
        <v>36000</v>
      </c>
      <c r="G28" s="9" t="s">
        <v>361</v>
      </c>
      <c r="H28" s="9" t="s">
        <v>362</v>
      </c>
      <c r="I28" s="9" t="s">
        <v>70</v>
      </c>
      <c r="J28" s="9" t="s">
        <v>34</v>
      </c>
      <c r="K28" s="9">
        <v>36</v>
      </c>
      <c r="L28" s="9" t="s">
        <v>49</v>
      </c>
      <c r="M28" s="10" t="s">
        <v>84</v>
      </c>
      <c r="N28" s="11">
        <v>58</v>
      </c>
    </row>
    <row r="29" spans="1:14" x14ac:dyDescent="0.2">
      <c r="A29" s="8" t="s">
        <v>364</v>
      </c>
      <c r="B29" s="9" t="s">
        <v>82</v>
      </c>
      <c r="C29" s="9">
        <v>44</v>
      </c>
      <c r="D29" s="9" t="s">
        <v>113</v>
      </c>
      <c r="E29" s="9">
        <v>8</v>
      </c>
      <c r="F29" s="9">
        <v>40000</v>
      </c>
      <c r="G29" s="9" t="s">
        <v>361</v>
      </c>
      <c r="H29" s="9" t="s">
        <v>362</v>
      </c>
      <c r="I29" s="9" t="s">
        <v>70</v>
      </c>
      <c r="J29" s="9" t="s">
        <v>34</v>
      </c>
      <c r="K29" s="9">
        <v>40</v>
      </c>
      <c r="L29" s="9" t="s">
        <v>49</v>
      </c>
      <c r="M29" s="10" t="s">
        <v>84</v>
      </c>
      <c r="N29" s="11">
        <v>63.8</v>
      </c>
    </row>
    <row r="30" spans="1:14" x14ac:dyDescent="0.2">
      <c r="A30" s="8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10"/>
    </row>
    <row r="31" spans="1:14" x14ac:dyDescent="0.2">
      <c r="A31" s="8" t="s">
        <v>112</v>
      </c>
      <c r="B31" s="9" t="s">
        <v>82</v>
      </c>
      <c r="C31" s="9">
        <v>70</v>
      </c>
      <c r="D31" s="9" t="s">
        <v>113</v>
      </c>
      <c r="E31" s="9" t="s">
        <v>114</v>
      </c>
      <c r="F31" s="9">
        <v>60000</v>
      </c>
      <c r="G31" s="9" t="s">
        <v>115</v>
      </c>
      <c r="H31" s="9" t="s">
        <v>66</v>
      </c>
      <c r="I31" s="9" t="s">
        <v>70</v>
      </c>
      <c r="J31" s="9" t="s">
        <v>34</v>
      </c>
      <c r="K31" s="9">
        <v>66</v>
      </c>
      <c r="L31" s="9" t="s">
        <v>49</v>
      </c>
      <c r="M31" s="10" t="s">
        <v>84</v>
      </c>
      <c r="N31" s="11">
        <v>86.7</v>
      </c>
    </row>
    <row r="32" spans="1:14" x14ac:dyDescent="0.2">
      <c r="A32" s="8" t="s">
        <v>496</v>
      </c>
      <c r="B32" s="9" t="s">
        <v>82</v>
      </c>
      <c r="C32" s="9">
        <v>70</v>
      </c>
      <c r="D32" s="9" t="s">
        <v>113</v>
      </c>
      <c r="E32" s="9" t="s">
        <v>114</v>
      </c>
      <c r="F32" s="9">
        <v>50000</v>
      </c>
      <c r="G32" s="9" t="s">
        <v>115</v>
      </c>
      <c r="H32" s="9" t="s">
        <v>66</v>
      </c>
      <c r="I32" s="9" t="s">
        <v>70</v>
      </c>
      <c r="J32" s="9" t="s">
        <v>34</v>
      </c>
      <c r="K32" s="9">
        <v>66</v>
      </c>
      <c r="L32" s="9" t="s">
        <v>49</v>
      </c>
      <c r="M32" s="10" t="s">
        <v>84</v>
      </c>
      <c r="N32" s="11">
        <v>86.7</v>
      </c>
    </row>
    <row r="33" spans="1:14" x14ac:dyDescent="0.2">
      <c r="A33" s="8" t="s">
        <v>552</v>
      </c>
      <c r="B33" s="9" t="s">
        <v>82</v>
      </c>
      <c r="C33" s="9">
        <v>70</v>
      </c>
      <c r="D33" s="9" t="s">
        <v>113</v>
      </c>
      <c r="E33" s="9" t="s">
        <v>114</v>
      </c>
      <c r="F33" s="9">
        <v>55000</v>
      </c>
      <c r="G33" s="9" t="s">
        <v>115</v>
      </c>
      <c r="H33" s="9" t="s">
        <v>66</v>
      </c>
      <c r="I33" s="9" t="s">
        <v>70</v>
      </c>
      <c r="J33" s="9" t="s">
        <v>34</v>
      </c>
      <c r="K33" s="9">
        <v>66</v>
      </c>
      <c r="L33" s="9" t="s">
        <v>49</v>
      </c>
      <c r="M33" s="10" t="s">
        <v>84</v>
      </c>
      <c r="N33" s="11">
        <v>86.7</v>
      </c>
    </row>
    <row r="34" spans="1:14" x14ac:dyDescent="0.2">
      <c r="A34" s="8" t="s">
        <v>614</v>
      </c>
      <c r="B34" s="9" t="s">
        <v>82</v>
      </c>
      <c r="C34" s="9">
        <v>70</v>
      </c>
      <c r="D34" s="9" t="s">
        <v>113</v>
      </c>
      <c r="E34" s="9" t="s">
        <v>114</v>
      </c>
      <c r="F34" s="9">
        <v>56000</v>
      </c>
      <c r="G34" s="9" t="s">
        <v>115</v>
      </c>
      <c r="H34" s="9" t="s">
        <v>66</v>
      </c>
      <c r="I34" s="9" t="s">
        <v>70</v>
      </c>
      <c r="J34" s="9" t="s">
        <v>34</v>
      </c>
      <c r="K34" s="9">
        <v>66</v>
      </c>
      <c r="L34" s="9" t="s">
        <v>49</v>
      </c>
      <c r="M34" s="10" t="s">
        <v>84</v>
      </c>
      <c r="N34" s="11">
        <v>86.7</v>
      </c>
    </row>
    <row r="35" spans="1:14" x14ac:dyDescent="0.2">
      <c r="A35" s="8" t="s">
        <v>232</v>
      </c>
      <c r="B35" s="9" t="s">
        <v>82</v>
      </c>
      <c r="C35" s="9">
        <v>115</v>
      </c>
      <c r="D35" s="9" t="s">
        <v>113</v>
      </c>
      <c r="E35" s="9" t="s">
        <v>233</v>
      </c>
      <c r="F35" s="9">
        <v>100000</v>
      </c>
      <c r="G35" s="9" t="s">
        <v>234</v>
      </c>
      <c r="H35" s="9" t="s">
        <v>235</v>
      </c>
      <c r="I35" s="9" t="s">
        <v>70</v>
      </c>
      <c r="J35" s="9" t="s">
        <v>34</v>
      </c>
      <c r="K35" s="9">
        <v>110</v>
      </c>
      <c r="L35" s="9" t="s">
        <v>49</v>
      </c>
      <c r="M35" s="10" t="s">
        <v>84</v>
      </c>
      <c r="N35" s="11">
        <v>160.4</v>
      </c>
    </row>
    <row r="36" spans="1:14" x14ac:dyDescent="0.2">
      <c r="A36" s="8" t="s">
        <v>497</v>
      </c>
      <c r="B36" s="9" t="s">
        <v>82</v>
      </c>
      <c r="C36" s="9">
        <v>115</v>
      </c>
      <c r="D36" s="9" t="s">
        <v>113</v>
      </c>
      <c r="E36" s="9" t="s">
        <v>233</v>
      </c>
      <c r="F36" s="9">
        <v>94000</v>
      </c>
      <c r="G36" s="9" t="s">
        <v>234</v>
      </c>
      <c r="H36" s="9" t="s">
        <v>235</v>
      </c>
      <c r="I36" s="9" t="s">
        <v>70</v>
      </c>
      <c r="J36" s="9" t="s">
        <v>34</v>
      </c>
      <c r="K36" s="9">
        <v>110</v>
      </c>
      <c r="L36" s="9" t="s">
        <v>49</v>
      </c>
      <c r="M36" s="10" t="s">
        <v>84</v>
      </c>
      <c r="N36" s="11">
        <v>160.4</v>
      </c>
    </row>
    <row r="37" spans="1:14" x14ac:dyDescent="0.2">
      <c r="A37" s="8" t="s">
        <v>340</v>
      </c>
      <c r="B37" s="9" t="s">
        <v>82</v>
      </c>
      <c r="C37" s="9">
        <v>115</v>
      </c>
      <c r="D37" s="9" t="s">
        <v>113</v>
      </c>
      <c r="E37" s="9" t="s">
        <v>233</v>
      </c>
      <c r="F37" s="9">
        <v>95000</v>
      </c>
      <c r="G37" s="9" t="s">
        <v>234</v>
      </c>
      <c r="H37" s="9" t="s">
        <v>235</v>
      </c>
      <c r="I37" s="9" t="s">
        <v>70</v>
      </c>
      <c r="J37" s="9" t="s">
        <v>34</v>
      </c>
      <c r="K37" s="9">
        <v>110</v>
      </c>
      <c r="L37" s="9" t="s">
        <v>49</v>
      </c>
      <c r="M37" s="10" t="s">
        <v>84</v>
      </c>
      <c r="N37" s="11">
        <v>160.4</v>
      </c>
    </row>
    <row r="38" spans="1:14" x14ac:dyDescent="0.2">
      <c r="A38" s="8" t="s">
        <v>341</v>
      </c>
      <c r="B38" s="9" t="s">
        <v>82</v>
      </c>
      <c r="C38" s="9">
        <v>115</v>
      </c>
      <c r="D38" s="9" t="s">
        <v>113</v>
      </c>
      <c r="E38" s="9" t="s">
        <v>233</v>
      </c>
      <c r="F38" s="9">
        <v>99000</v>
      </c>
      <c r="G38" s="9" t="s">
        <v>234</v>
      </c>
      <c r="H38" s="9" t="s">
        <v>235</v>
      </c>
      <c r="I38" s="9" t="s">
        <v>70</v>
      </c>
      <c r="J38" s="9" t="s">
        <v>34</v>
      </c>
      <c r="K38" s="9">
        <v>110</v>
      </c>
      <c r="L38" s="9" t="s">
        <v>49</v>
      </c>
      <c r="M38" s="10" t="s">
        <v>84</v>
      </c>
      <c r="N38" s="11">
        <v>160.4</v>
      </c>
    </row>
    <row r="39" spans="1:14" x14ac:dyDescent="0.2">
      <c r="A39" s="8" t="s">
        <v>441</v>
      </c>
      <c r="B39" s="9" t="s">
        <v>82</v>
      </c>
      <c r="C39" s="9">
        <v>115</v>
      </c>
      <c r="D39" s="9" t="s">
        <v>113</v>
      </c>
      <c r="E39" s="9" t="s">
        <v>233</v>
      </c>
      <c r="F39" s="9">
        <v>90000</v>
      </c>
      <c r="G39" s="9" t="s">
        <v>234</v>
      </c>
      <c r="H39" s="9" t="s">
        <v>235</v>
      </c>
      <c r="I39" s="9" t="s">
        <v>70</v>
      </c>
      <c r="J39" s="9" t="s">
        <v>34</v>
      </c>
      <c r="K39" s="9">
        <v>110</v>
      </c>
      <c r="L39" s="9" t="s">
        <v>49</v>
      </c>
      <c r="M39" s="10" t="s">
        <v>84</v>
      </c>
      <c r="N39" s="11">
        <v>160.4</v>
      </c>
    </row>
    <row r="40" spans="1:14" x14ac:dyDescent="0.2">
      <c r="A40" s="8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10"/>
    </row>
    <row r="41" spans="1:14" x14ac:dyDescent="0.2">
      <c r="A41" s="8" t="s">
        <v>129</v>
      </c>
      <c r="B41" s="9" t="s">
        <v>63</v>
      </c>
      <c r="C41" s="9">
        <v>3</v>
      </c>
      <c r="D41" s="9" t="s">
        <v>130</v>
      </c>
      <c r="E41" s="9">
        <v>1</v>
      </c>
      <c r="F41" s="9">
        <v>1500</v>
      </c>
      <c r="G41" s="9" t="s">
        <v>131</v>
      </c>
      <c r="H41" s="9" t="s">
        <v>75</v>
      </c>
      <c r="I41" s="9" t="s">
        <v>365</v>
      </c>
      <c r="J41" s="9" t="s">
        <v>34</v>
      </c>
      <c r="K41" s="9">
        <v>1.5</v>
      </c>
      <c r="L41" s="9" t="s">
        <v>50</v>
      </c>
      <c r="M41" s="10" t="s">
        <v>63</v>
      </c>
      <c r="N41" s="11">
        <v>7</v>
      </c>
    </row>
    <row r="42" spans="1:14" x14ac:dyDescent="0.2">
      <c r="A42" s="8" t="s">
        <v>366</v>
      </c>
      <c r="B42" s="9" t="s">
        <v>63</v>
      </c>
      <c r="C42" s="9">
        <v>4</v>
      </c>
      <c r="D42" s="9" t="s">
        <v>367</v>
      </c>
      <c r="E42" s="9">
        <v>1</v>
      </c>
      <c r="F42" s="9">
        <v>2000</v>
      </c>
      <c r="G42" s="9" t="s">
        <v>131</v>
      </c>
      <c r="H42" s="9" t="s">
        <v>235</v>
      </c>
      <c r="I42" s="9" t="s">
        <v>365</v>
      </c>
      <c r="J42" s="9" t="s">
        <v>368</v>
      </c>
      <c r="K42" s="9">
        <v>2</v>
      </c>
      <c r="L42" s="9" t="s">
        <v>50</v>
      </c>
      <c r="M42" s="10" t="s">
        <v>63</v>
      </c>
      <c r="N42" s="11">
        <v>9</v>
      </c>
    </row>
    <row r="43" spans="1:14" x14ac:dyDescent="0.2">
      <c r="A43" s="8" t="s">
        <v>132</v>
      </c>
      <c r="B43" s="9" t="s">
        <v>63</v>
      </c>
      <c r="C43" s="9">
        <v>5</v>
      </c>
      <c r="D43" s="9" t="s">
        <v>133</v>
      </c>
      <c r="E43" s="9">
        <v>1</v>
      </c>
      <c r="F43" s="9">
        <v>2500</v>
      </c>
      <c r="G43" s="9" t="s">
        <v>131</v>
      </c>
      <c r="H43" s="9" t="s">
        <v>75</v>
      </c>
      <c r="I43" s="9" t="s">
        <v>365</v>
      </c>
      <c r="J43" s="9" t="s">
        <v>34</v>
      </c>
      <c r="K43" s="9">
        <v>2.5</v>
      </c>
      <c r="L43" s="9" t="s">
        <v>50</v>
      </c>
      <c r="M43" s="10" t="s">
        <v>63</v>
      </c>
      <c r="N43" s="11">
        <v>11</v>
      </c>
    </row>
    <row r="44" spans="1:14" x14ac:dyDescent="0.2">
      <c r="A44" s="8" t="s">
        <v>134</v>
      </c>
      <c r="B44" s="9" t="s">
        <v>63</v>
      </c>
      <c r="C44" s="9" t="s">
        <v>135</v>
      </c>
      <c r="D44" s="9" t="s">
        <v>136</v>
      </c>
      <c r="E44" s="9" t="s">
        <v>83</v>
      </c>
      <c r="F44" s="9">
        <v>3000</v>
      </c>
      <c r="G44" s="9" t="s">
        <v>137</v>
      </c>
      <c r="H44" s="9" t="s">
        <v>75</v>
      </c>
      <c r="I44" s="9" t="s">
        <v>365</v>
      </c>
      <c r="J44" s="9" t="s">
        <v>34</v>
      </c>
      <c r="K44" s="9">
        <v>3</v>
      </c>
      <c r="L44" s="9" t="s">
        <v>50</v>
      </c>
      <c r="M44" s="10" t="s">
        <v>63</v>
      </c>
      <c r="N44" s="11">
        <v>16</v>
      </c>
    </row>
    <row r="45" spans="1:14" x14ac:dyDescent="0.2">
      <c r="A45" s="8" t="s">
        <v>138</v>
      </c>
      <c r="B45" s="9" t="s">
        <v>63</v>
      </c>
      <c r="C45" s="9" t="s">
        <v>135</v>
      </c>
      <c r="D45" s="9" t="s">
        <v>139</v>
      </c>
      <c r="E45" s="9" t="s">
        <v>83</v>
      </c>
      <c r="F45" s="9">
        <v>3680</v>
      </c>
      <c r="G45" s="9" t="s">
        <v>137</v>
      </c>
      <c r="H45" s="9" t="s">
        <v>75</v>
      </c>
      <c r="I45" s="9" t="s">
        <v>365</v>
      </c>
      <c r="J45" s="9" t="s">
        <v>34</v>
      </c>
      <c r="K45" s="9">
        <v>3.68</v>
      </c>
      <c r="L45" s="9" t="s">
        <v>50</v>
      </c>
      <c r="M45" s="10" t="s">
        <v>63</v>
      </c>
      <c r="N45" s="11">
        <v>16</v>
      </c>
    </row>
    <row r="46" spans="1:14" x14ac:dyDescent="0.2">
      <c r="A46" s="8" t="s">
        <v>140</v>
      </c>
      <c r="B46" s="9" t="s">
        <v>63</v>
      </c>
      <c r="C46" s="9" t="s">
        <v>141</v>
      </c>
      <c r="D46" s="9" t="s">
        <v>142</v>
      </c>
      <c r="E46" s="9" t="s">
        <v>83</v>
      </c>
      <c r="F46" s="9">
        <v>4000</v>
      </c>
      <c r="G46" s="9" t="s">
        <v>137</v>
      </c>
      <c r="H46" s="9" t="s">
        <v>75</v>
      </c>
      <c r="I46" s="9" t="s">
        <v>365</v>
      </c>
      <c r="J46" s="9" t="s">
        <v>34</v>
      </c>
      <c r="K46" s="9">
        <v>4</v>
      </c>
      <c r="L46" s="9" t="s">
        <v>50</v>
      </c>
      <c r="M46" s="10" t="s">
        <v>63</v>
      </c>
      <c r="N46" s="11">
        <v>22</v>
      </c>
    </row>
    <row r="47" spans="1:14" x14ac:dyDescent="0.2">
      <c r="A47" s="8" t="s">
        <v>143</v>
      </c>
      <c r="B47" s="9" t="s">
        <v>63</v>
      </c>
      <c r="C47" s="9" t="s">
        <v>141</v>
      </c>
      <c r="D47" s="9" t="s">
        <v>367</v>
      </c>
      <c r="E47" s="9" t="s">
        <v>83</v>
      </c>
      <c r="F47" s="9">
        <v>5000</v>
      </c>
      <c r="G47" s="9" t="s">
        <v>137</v>
      </c>
      <c r="H47" s="9" t="s">
        <v>75</v>
      </c>
      <c r="I47" s="9" t="s">
        <v>365</v>
      </c>
      <c r="J47" s="9" t="s">
        <v>34</v>
      </c>
      <c r="K47" s="9">
        <v>5</v>
      </c>
      <c r="L47" s="9" t="s">
        <v>50</v>
      </c>
      <c r="M47" s="10" t="s">
        <v>63</v>
      </c>
      <c r="N47" s="11">
        <v>22</v>
      </c>
    </row>
    <row r="48" spans="1:14" x14ac:dyDescent="0.2">
      <c r="A48" s="8" t="s">
        <v>315</v>
      </c>
      <c r="B48" s="9" t="s">
        <v>63</v>
      </c>
      <c r="C48" s="9" t="s">
        <v>151</v>
      </c>
      <c r="D48" s="9" t="s">
        <v>77</v>
      </c>
      <c r="E48" s="9" t="s">
        <v>83</v>
      </c>
      <c r="F48" s="9">
        <v>6000</v>
      </c>
      <c r="G48" s="9" t="s">
        <v>137</v>
      </c>
      <c r="H48" s="9" t="s">
        <v>75</v>
      </c>
      <c r="I48" s="9" t="s">
        <v>365</v>
      </c>
      <c r="J48" s="9" t="s">
        <v>34</v>
      </c>
      <c r="K48" s="9">
        <v>6</v>
      </c>
      <c r="L48" s="9" t="s">
        <v>50</v>
      </c>
      <c r="M48" s="10" t="s">
        <v>63</v>
      </c>
      <c r="N48" s="11">
        <v>26.1</v>
      </c>
    </row>
    <row r="49" spans="1:14" x14ac:dyDescent="0.2">
      <c r="A49" s="8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10"/>
    </row>
    <row r="50" spans="1:14" x14ac:dyDescent="0.2">
      <c r="A50" s="8" t="s">
        <v>144</v>
      </c>
      <c r="B50" s="9" t="s">
        <v>63</v>
      </c>
      <c r="C50" s="9" t="s">
        <v>145</v>
      </c>
      <c r="D50" s="9" t="s">
        <v>146</v>
      </c>
      <c r="E50" s="9" t="s">
        <v>212</v>
      </c>
      <c r="F50" s="9">
        <v>3000</v>
      </c>
      <c r="G50" s="9" t="s">
        <v>137</v>
      </c>
      <c r="H50" s="9" t="s">
        <v>75</v>
      </c>
      <c r="I50" s="9" t="s">
        <v>365</v>
      </c>
      <c r="J50" s="9" t="s">
        <v>34</v>
      </c>
      <c r="K50" s="9">
        <v>3</v>
      </c>
      <c r="L50" s="9" t="s">
        <v>49</v>
      </c>
      <c r="M50" s="10" t="s">
        <v>63</v>
      </c>
      <c r="N50" s="11">
        <v>4.5</v>
      </c>
    </row>
    <row r="51" spans="1:14" x14ac:dyDescent="0.2">
      <c r="A51" s="8" t="s">
        <v>147</v>
      </c>
      <c r="B51" s="9" t="s">
        <v>63</v>
      </c>
      <c r="C51" s="9" t="s">
        <v>148</v>
      </c>
      <c r="D51" s="9" t="s">
        <v>149</v>
      </c>
      <c r="E51" s="9" t="s">
        <v>212</v>
      </c>
      <c r="F51" s="9">
        <v>4000</v>
      </c>
      <c r="G51" s="9" t="s">
        <v>137</v>
      </c>
      <c r="H51" s="9" t="s">
        <v>75</v>
      </c>
      <c r="I51" s="9" t="s">
        <v>365</v>
      </c>
      <c r="J51" s="9" t="s">
        <v>34</v>
      </c>
      <c r="K51" s="9">
        <v>4</v>
      </c>
      <c r="L51" s="9" t="s">
        <v>49</v>
      </c>
      <c r="M51" s="10" t="s">
        <v>63</v>
      </c>
      <c r="N51" s="11">
        <v>5.8</v>
      </c>
    </row>
    <row r="52" spans="1:14" x14ac:dyDescent="0.2">
      <c r="A52" s="8" t="s">
        <v>150</v>
      </c>
      <c r="B52" s="9" t="s">
        <v>63</v>
      </c>
      <c r="C52" s="9" t="s">
        <v>151</v>
      </c>
      <c r="D52" s="9" t="s">
        <v>152</v>
      </c>
      <c r="E52" s="9" t="s">
        <v>212</v>
      </c>
      <c r="F52" s="9">
        <v>5000</v>
      </c>
      <c r="G52" s="9" t="s">
        <v>137</v>
      </c>
      <c r="H52" s="9" t="s">
        <v>75</v>
      </c>
      <c r="I52" s="9" t="s">
        <v>365</v>
      </c>
      <c r="J52" s="9" t="s">
        <v>34</v>
      </c>
      <c r="K52" s="9">
        <v>5</v>
      </c>
      <c r="L52" s="9" t="s">
        <v>49</v>
      </c>
      <c r="M52" s="10" t="s">
        <v>63</v>
      </c>
      <c r="N52" s="11">
        <v>7.6</v>
      </c>
    </row>
    <row r="53" spans="1:14" x14ac:dyDescent="0.2">
      <c r="A53" s="8" t="s">
        <v>153</v>
      </c>
      <c r="B53" s="9" t="s">
        <v>63</v>
      </c>
      <c r="C53" s="9" t="s">
        <v>151</v>
      </c>
      <c r="D53" s="9" t="s">
        <v>154</v>
      </c>
      <c r="E53" s="9" t="s">
        <v>212</v>
      </c>
      <c r="F53" s="9">
        <v>6000</v>
      </c>
      <c r="G53" s="9" t="s">
        <v>137</v>
      </c>
      <c r="H53" s="9" t="s">
        <v>75</v>
      </c>
      <c r="I53" s="9" t="s">
        <v>365</v>
      </c>
      <c r="J53" s="9" t="s">
        <v>34</v>
      </c>
      <c r="K53" s="9">
        <v>6</v>
      </c>
      <c r="L53" s="9" t="s">
        <v>49</v>
      </c>
      <c r="M53" s="10" t="s">
        <v>63</v>
      </c>
      <c r="N53" s="11">
        <v>9.1</v>
      </c>
    </row>
    <row r="54" spans="1:14" x14ac:dyDescent="0.2">
      <c r="A54" s="8" t="s">
        <v>369</v>
      </c>
      <c r="B54" s="9" t="s">
        <v>63</v>
      </c>
      <c r="C54" s="9" t="s">
        <v>370</v>
      </c>
      <c r="D54" s="9" t="s">
        <v>154</v>
      </c>
      <c r="E54" s="9" t="s">
        <v>371</v>
      </c>
      <c r="F54" s="9">
        <v>8000</v>
      </c>
      <c r="G54" s="9" t="s">
        <v>372</v>
      </c>
      <c r="H54" s="9" t="s">
        <v>75</v>
      </c>
      <c r="I54" s="9" t="s">
        <v>365</v>
      </c>
      <c r="J54" s="9" t="s">
        <v>34</v>
      </c>
      <c r="K54" s="9">
        <v>8</v>
      </c>
      <c r="L54" s="9" t="s">
        <v>49</v>
      </c>
      <c r="M54" s="10" t="s">
        <v>63</v>
      </c>
      <c r="N54" s="11">
        <v>12.1</v>
      </c>
    </row>
    <row r="55" spans="1:14" x14ac:dyDescent="0.2">
      <c r="A55" s="8" t="s">
        <v>373</v>
      </c>
      <c r="B55" s="9" t="s">
        <v>63</v>
      </c>
      <c r="C55" s="9" t="s">
        <v>370</v>
      </c>
      <c r="D55" s="9" t="s">
        <v>71</v>
      </c>
      <c r="E55" s="9" t="s">
        <v>371</v>
      </c>
      <c r="F55" s="9">
        <v>10000</v>
      </c>
      <c r="G55" s="9" t="s">
        <v>372</v>
      </c>
      <c r="H55" s="9" t="s">
        <v>235</v>
      </c>
      <c r="I55" s="9" t="s">
        <v>365</v>
      </c>
      <c r="J55" s="9" t="s">
        <v>34</v>
      </c>
      <c r="K55" s="9">
        <v>10</v>
      </c>
      <c r="L55" s="9" t="s">
        <v>49</v>
      </c>
      <c r="M55" s="10" t="s">
        <v>63</v>
      </c>
      <c r="N55" s="11">
        <v>14.5</v>
      </c>
    </row>
    <row r="56" spans="1:14" x14ac:dyDescent="0.2">
      <c r="A56" s="8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10"/>
    </row>
    <row r="57" spans="1:14" x14ac:dyDescent="0.2">
      <c r="A57" s="8" t="s">
        <v>74</v>
      </c>
      <c r="B57" s="9" t="s">
        <v>63</v>
      </c>
      <c r="C57" s="9">
        <v>27</v>
      </c>
      <c r="D57" s="9" t="s">
        <v>72</v>
      </c>
      <c r="E57" s="9" t="s">
        <v>374</v>
      </c>
      <c r="F57" s="9">
        <v>15000</v>
      </c>
      <c r="G57" s="9" t="s">
        <v>88</v>
      </c>
      <c r="H57" s="9" t="s">
        <v>75</v>
      </c>
      <c r="I57" s="9" t="s">
        <v>128</v>
      </c>
      <c r="J57" s="9" t="s">
        <v>34</v>
      </c>
      <c r="K57" s="9">
        <v>15</v>
      </c>
      <c r="L57" s="9" t="s">
        <v>49</v>
      </c>
      <c r="M57" s="10" t="s">
        <v>63</v>
      </c>
      <c r="N57" s="11">
        <v>29</v>
      </c>
    </row>
    <row r="58" spans="1:14" x14ac:dyDescent="0.2">
      <c r="A58" s="8" t="s">
        <v>89</v>
      </c>
      <c r="B58" s="9" t="s">
        <v>63</v>
      </c>
      <c r="C58" s="9">
        <v>36</v>
      </c>
      <c r="D58" s="9" t="s">
        <v>71</v>
      </c>
      <c r="E58" s="9" t="s">
        <v>374</v>
      </c>
      <c r="F58" s="9">
        <v>20000</v>
      </c>
      <c r="G58" s="9" t="s">
        <v>88</v>
      </c>
      <c r="H58" s="9" t="s">
        <v>75</v>
      </c>
      <c r="I58" s="9" t="s">
        <v>128</v>
      </c>
      <c r="J58" s="9" t="s">
        <v>34</v>
      </c>
      <c r="K58" s="9">
        <v>20</v>
      </c>
      <c r="L58" s="9" t="s">
        <v>49</v>
      </c>
      <c r="M58" s="10" t="s">
        <v>63</v>
      </c>
      <c r="N58" s="11">
        <v>29</v>
      </c>
    </row>
    <row r="59" spans="1:14" x14ac:dyDescent="0.2">
      <c r="A59" s="8" t="s">
        <v>86</v>
      </c>
      <c r="B59" s="9" t="s">
        <v>63</v>
      </c>
      <c r="C59" s="9">
        <v>45</v>
      </c>
      <c r="D59" s="9" t="s">
        <v>87</v>
      </c>
      <c r="E59" s="9" t="s">
        <v>374</v>
      </c>
      <c r="F59" s="9">
        <v>25000</v>
      </c>
      <c r="G59" s="9" t="s">
        <v>88</v>
      </c>
      <c r="H59" s="9" t="s">
        <v>75</v>
      </c>
      <c r="I59" s="9" t="s">
        <v>128</v>
      </c>
      <c r="J59" s="9" t="s">
        <v>34</v>
      </c>
      <c r="K59" s="9">
        <v>25</v>
      </c>
      <c r="L59" s="9" t="s">
        <v>49</v>
      </c>
      <c r="M59" s="10" t="s">
        <v>63</v>
      </c>
      <c r="N59" s="11">
        <v>36.200000000000003</v>
      </c>
    </row>
    <row r="60" spans="1:14" x14ac:dyDescent="0.2">
      <c r="A60" s="8" t="s">
        <v>108</v>
      </c>
      <c r="B60" s="9" t="s">
        <v>63</v>
      </c>
      <c r="C60" s="9">
        <v>75</v>
      </c>
      <c r="D60" s="9" t="s">
        <v>109</v>
      </c>
      <c r="E60" s="9">
        <v>6</v>
      </c>
      <c r="F60" s="9">
        <v>50000</v>
      </c>
      <c r="G60" s="9" t="s">
        <v>110</v>
      </c>
      <c r="H60" s="9" t="s">
        <v>75</v>
      </c>
      <c r="I60" s="9" t="s">
        <v>128</v>
      </c>
      <c r="J60" s="9" t="s">
        <v>34</v>
      </c>
      <c r="K60" s="9">
        <v>50</v>
      </c>
      <c r="L60" s="9" t="s">
        <v>49</v>
      </c>
      <c r="M60" s="10" t="s">
        <v>63</v>
      </c>
      <c r="N60" s="11">
        <v>72.5</v>
      </c>
    </row>
    <row r="61" spans="1:14" x14ac:dyDescent="0.2">
      <c r="A61" s="11" t="s">
        <v>375</v>
      </c>
      <c r="B61" s="11" t="s">
        <v>63</v>
      </c>
      <c r="C61" s="11">
        <v>165</v>
      </c>
      <c r="D61" s="11" t="s">
        <v>109</v>
      </c>
      <c r="E61" s="11" t="s">
        <v>376</v>
      </c>
      <c r="F61" s="11">
        <v>110000</v>
      </c>
      <c r="G61" s="11" t="s">
        <v>377</v>
      </c>
      <c r="H61" s="11" t="s">
        <v>235</v>
      </c>
      <c r="I61" s="11" t="s">
        <v>128</v>
      </c>
      <c r="J61" s="11" t="s">
        <v>34</v>
      </c>
      <c r="K61" s="11">
        <v>110</v>
      </c>
      <c r="L61" s="11" t="s">
        <v>49</v>
      </c>
      <c r="M61" s="11" t="s">
        <v>63</v>
      </c>
      <c r="N61" s="11">
        <v>159</v>
      </c>
    </row>
    <row r="62" spans="1:14" x14ac:dyDescent="0.2">
      <c r="A62" s="11" t="s">
        <v>553</v>
      </c>
      <c r="B62" s="11" t="s">
        <v>63</v>
      </c>
      <c r="C62" s="11">
        <v>165</v>
      </c>
      <c r="D62" s="11" t="s">
        <v>109</v>
      </c>
      <c r="E62" s="11" t="s">
        <v>376</v>
      </c>
      <c r="F62" s="11">
        <v>100000</v>
      </c>
      <c r="G62" s="11" t="s">
        <v>377</v>
      </c>
      <c r="H62" s="11" t="s">
        <v>235</v>
      </c>
      <c r="I62" s="11" t="s">
        <v>128</v>
      </c>
      <c r="J62" s="11" t="s">
        <v>34</v>
      </c>
      <c r="K62" s="11">
        <v>110</v>
      </c>
      <c r="L62" s="11" t="s">
        <v>49</v>
      </c>
      <c r="M62" s="11" t="s">
        <v>63</v>
      </c>
      <c r="N62" s="11">
        <v>159</v>
      </c>
    </row>
    <row r="64" spans="1:14" x14ac:dyDescent="0.2">
      <c r="A64" s="11" t="s">
        <v>554</v>
      </c>
      <c r="B64" s="11" t="s">
        <v>237</v>
      </c>
      <c r="C64" s="11">
        <v>7.75</v>
      </c>
      <c r="D64" s="11" t="s">
        <v>555</v>
      </c>
      <c r="E64" s="11">
        <v>2</v>
      </c>
      <c r="F64" s="11">
        <v>5000</v>
      </c>
      <c r="G64" s="11" t="s">
        <v>556</v>
      </c>
      <c r="H64" s="11" t="s">
        <v>75</v>
      </c>
      <c r="I64" s="11" t="s">
        <v>240</v>
      </c>
      <c r="J64" s="11" t="s">
        <v>34</v>
      </c>
      <c r="K64" s="11">
        <v>5</v>
      </c>
      <c r="L64" s="11" t="s">
        <v>50</v>
      </c>
      <c r="M64" s="11" t="s">
        <v>241</v>
      </c>
      <c r="N64" s="11">
        <v>23</v>
      </c>
    </row>
    <row r="65" spans="1:14" x14ac:dyDescent="0.2">
      <c r="A65" s="11" t="s">
        <v>557</v>
      </c>
      <c r="B65" s="11" t="s">
        <v>237</v>
      </c>
      <c r="C65" s="11">
        <v>9.3000000000000007</v>
      </c>
      <c r="D65" s="11" t="s">
        <v>555</v>
      </c>
      <c r="E65" s="11">
        <v>2</v>
      </c>
      <c r="F65" s="11">
        <v>6000</v>
      </c>
      <c r="G65" s="11" t="s">
        <v>556</v>
      </c>
      <c r="H65" s="11" t="s">
        <v>75</v>
      </c>
      <c r="I65" s="11" t="s">
        <v>240</v>
      </c>
      <c r="J65" s="11" t="s">
        <v>34</v>
      </c>
      <c r="K65" s="11">
        <v>6</v>
      </c>
      <c r="L65" s="11" t="s">
        <v>50</v>
      </c>
      <c r="M65" s="11" t="s">
        <v>241</v>
      </c>
      <c r="N65" s="11">
        <v>27.5</v>
      </c>
    </row>
    <row r="66" spans="1:14" x14ac:dyDescent="0.2">
      <c r="A66" s="11" t="s">
        <v>558</v>
      </c>
      <c r="B66" s="11" t="s">
        <v>237</v>
      </c>
      <c r="C66" s="11">
        <v>12.4</v>
      </c>
      <c r="D66" s="11" t="s">
        <v>559</v>
      </c>
      <c r="E66" s="11">
        <v>3</v>
      </c>
      <c r="F66" s="11">
        <v>8000</v>
      </c>
      <c r="G66" s="11" t="s">
        <v>560</v>
      </c>
      <c r="H66" s="11" t="s">
        <v>75</v>
      </c>
      <c r="I66" s="11" t="s">
        <v>240</v>
      </c>
      <c r="J66" s="11" t="s">
        <v>34</v>
      </c>
      <c r="K66" s="11">
        <v>8</v>
      </c>
      <c r="L66" s="11" t="s">
        <v>50</v>
      </c>
      <c r="M66" s="11" t="s">
        <v>241</v>
      </c>
      <c r="N66" s="11">
        <v>36.5</v>
      </c>
    </row>
    <row r="67" spans="1:14" x14ac:dyDescent="0.2">
      <c r="A67" s="11" t="s">
        <v>561</v>
      </c>
      <c r="B67" s="11" t="s">
        <v>237</v>
      </c>
      <c r="C67" s="11">
        <v>15.5</v>
      </c>
      <c r="D67" s="11" t="s">
        <v>559</v>
      </c>
      <c r="E67" s="11">
        <v>3</v>
      </c>
      <c r="F67" s="11">
        <v>10000</v>
      </c>
      <c r="G67" s="11" t="s">
        <v>560</v>
      </c>
      <c r="H67" s="11" t="s">
        <v>75</v>
      </c>
      <c r="I67" s="11" t="s">
        <v>240</v>
      </c>
      <c r="J67" s="11" t="s">
        <v>34</v>
      </c>
      <c r="K67" s="11">
        <v>10</v>
      </c>
      <c r="L67" s="11" t="s">
        <v>50</v>
      </c>
      <c r="M67" s="11" t="s">
        <v>241</v>
      </c>
      <c r="N67" s="11">
        <v>45.5</v>
      </c>
    </row>
    <row r="68" spans="1:14" x14ac:dyDescent="0.2">
      <c r="A68" s="11" t="s">
        <v>236</v>
      </c>
      <c r="B68" s="11" t="s">
        <v>237</v>
      </c>
      <c r="C68" s="11">
        <v>22.95</v>
      </c>
      <c r="D68" s="11" t="s">
        <v>238</v>
      </c>
      <c r="E68" s="11">
        <v>2</v>
      </c>
      <c r="F68" s="11">
        <v>17000</v>
      </c>
      <c r="G68" s="11" t="s">
        <v>239</v>
      </c>
      <c r="H68" s="11" t="s">
        <v>75</v>
      </c>
      <c r="I68" s="11" t="s">
        <v>240</v>
      </c>
      <c r="J68" s="11" t="s">
        <v>34</v>
      </c>
      <c r="K68" s="11">
        <v>17</v>
      </c>
      <c r="L68" s="11" t="s">
        <v>49</v>
      </c>
      <c r="M68" s="11" t="s">
        <v>241</v>
      </c>
      <c r="N68" s="11">
        <v>26</v>
      </c>
    </row>
    <row r="69" spans="1:14" x14ac:dyDescent="0.2">
      <c r="A69" s="11" t="s">
        <v>242</v>
      </c>
      <c r="B69" s="11" t="s">
        <v>237</v>
      </c>
      <c r="C69" s="11">
        <v>33.75</v>
      </c>
      <c r="D69" s="11" t="s">
        <v>238</v>
      </c>
      <c r="E69" s="11">
        <v>3</v>
      </c>
      <c r="F69" s="11">
        <v>25000</v>
      </c>
      <c r="G69" s="11" t="s">
        <v>239</v>
      </c>
      <c r="H69" s="11" t="s">
        <v>75</v>
      </c>
      <c r="I69" s="11" t="s">
        <v>240</v>
      </c>
      <c r="J69" s="11" t="s">
        <v>34</v>
      </c>
      <c r="K69" s="11">
        <v>25</v>
      </c>
      <c r="L69" s="11" t="s">
        <v>49</v>
      </c>
      <c r="M69" s="11" t="s">
        <v>241</v>
      </c>
      <c r="N69" s="11">
        <v>38</v>
      </c>
    </row>
    <row r="70" spans="1:14" x14ac:dyDescent="0.2">
      <c r="A70" s="11" t="s">
        <v>378</v>
      </c>
      <c r="B70" s="11" t="s">
        <v>237</v>
      </c>
      <c r="C70" s="11">
        <v>45</v>
      </c>
      <c r="D70" s="11" t="s">
        <v>238</v>
      </c>
      <c r="E70" s="11">
        <v>4</v>
      </c>
      <c r="F70" s="11">
        <v>29990</v>
      </c>
      <c r="G70" s="11" t="s">
        <v>379</v>
      </c>
      <c r="H70" s="11" t="s">
        <v>75</v>
      </c>
      <c r="I70" s="11" t="s">
        <v>240</v>
      </c>
      <c r="J70" s="11" t="s">
        <v>34</v>
      </c>
      <c r="K70" s="11">
        <v>29.99</v>
      </c>
      <c r="L70" s="11" t="s">
        <v>49</v>
      </c>
      <c r="M70" s="11" t="s">
        <v>380</v>
      </c>
      <c r="N70" s="11">
        <v>43.5</v>
      </c>
    </row>
    <row r="71" spans="1:14" x14ac:dyDescent="0.2">
      <c r="A71" s="11" t="s">
        <v>381</v>
      </c>
      <c r="B71" s="11" t="s">
        <v>237</v>
      </c>
      <c r="C71" s="11">
        <v>50</v>
      </c>
      <c r="D71" s="11" t="s">
        <v>238</v>
      </c>
      <c r="E71" s="11">
        <v>4</v>
      </c>
      <c r="F71" s="11">
        <v>33300</v>
      </c>
      <c r="G71" s="11" t="s">
        <v>379</v>
      </c>
      <c r="H71" s="11" t="s">
        <v>75</v>
      </c>
      <c r="I71" s="11" t="s">
        <v>240</v>
      </c>
      <c r="J71" s="11" t="s">
        <v>34</v>
      </c>
      <c r="K71" s="11">
        <v>33.33</v>
      </c>
      <c r="L71" s="11" t="s">
        <v>49</v>
      </c>
      <c r="M71" s="11" t="s">
        <v>380</v>
      </c>
      <c r="N71" s="11">
        <v>48.25</v>
      </c>
    </row>
    <row r="72" spans="1:14" x14ac:dyDescent="0.2">
      <c r="A72" s="11" t="s">
        <v>382</v>
      </c>
      <c r="B72" s="11" t="s">
        <v>237</v>
      </c>
      <c r="C72" s="11">
        <v>74.5</v>
      </c>
      <c r="D72" s="11" t="s">
        <v>238</v>
      </c>
      <c r="E72" s="11">
        <v>6</v>
      </c>
      <c r="F72" s="11">
        <v>55000</v>
      </c>
      <c r="G72" s="11" t="s">
        <v>383</v>
      </c>
      <c r="H72" s="11" t="s">
        <v>75</v>
      </c>
      <c r="I72" s="11" t="s">
        <v>240</v>
      </c>
      <c r="J72" s="11" t="s">
        <v>34</v>
      </c>
      <c r="K72" s="11">
        <v>55</v>
      </c>
      <c r="L72" s="11" t="s">
        <v>49</v>
      </c>
      <c r="M72" s="11" t="s">
        <v>241</v>
      </c>
      <c r="N72" s="11">
        <v>80</v>
      </c>
    </row>
    <row r="73" spans="1:14" x14ac:dyDescent="0.2">
      <c r="A73" s="11" t="s">
        <v>384</v>
      </c>
      <c r="B73" s="11" t="s">
        <v>237</v>
      </c>
      <c r="C73" s="11">
        <v>111.75</v>
      </c>
      <c r="D73" s="11" t="s">
        <v>238</v>
      </c>
      <c r="E73" s="11">
        <v>9</v>
      </c>
      <c r="F73" s="11">
        <v>82800</v>
      </c>
      <c r="G73" s="11" t="s">
        <v>385</v>
      </c>
      <c r="H73" s="11" t="s">
        <v>75</v>
      </c>
      <c r="I73" s="11" t="s">
        <v>240</v>
      </c>
      <c r="J73" s="11" t="s">
        <v>34</v>
      </c>
      <c r="K73" s="11">
        <v>82.8</v>
      </c>
      <c r="L73" s="11" t="s">
        <v>49</v>
      </c>
      <c r="M73" s="11" t="s">
        <v>241</v>
      </c>
      <c r="N73" s="11">
        <v>120</v>
      </c>
    </row>
    <row r="74" spans="1:14" x14ac:dyDescent="0.2">
      <c r="A74" s="11" t="s">
        <v>562</v>
      </c>
      <c r="B74" s="11" t="s">
        <v>237</v>
      </c>
      <c r="C74" s="11">
        <v>75</v>
      </c>
      <c r="D74" s="11" t="s">
        <v>238</v>
      </c>
      <c r="E74" s="11">
        <v>8</v>
      </c>
      <c r="F74" s="11">
        <v>50000</v>
      </c>
      <c r="G74" s="11" t="s">
        <v>563</v>
      </c>
      <c r="H74" s="11" t="s">
        <v>75</v>
      </c>
      <c r="I74" s="11" t="s">
        <v>240</v>
      </c>
      <c r="J74" s="11" t="s">
        <v>34</v>
      </c>
      <c r="K74" s="11">
        <v>50</v>
      </c>
      <c r="L74" s="11" t="s">
        <v>49</v>
      </c>
      <c r="M74" s="11" t="s">
        <v>241</v>
      </c>
      <c r="N74" s="11">
        <v>72.5</v>
      </c>
    </row>
    <row r="75" spans="1:14" x14ac:dyDescent="0.2">
      <c r="A75" s="11" t="s">
        <v>564</v>
      </c>
      <c r="B75" s="11" t="s">
        <v>237</v>
      </c>
      <c r="C75" s="11">
        <v>100</v>
      </c>
      <c r="D75" s="11" t="s">
        <v>238</v>
      </c>
      <c r="E75" s="11">
        <v>8</v>
      </c>
      <c r="F75" s="11">
        <v>66600</v>
      </c>
      <c r="G75" s="11" t="s">
        <v>563</v>
      </c>
      <c r="H75" s="11" t="s">
        <v>75</v>
      </c>
      <c r="I75" s="11" t="s">
        <v>240</v>
      </c>
      <c r="J75" s="11" t="s">
        <v>34</v>
      </c>
      <c r="K75" s="11">
        <v>66.599999999999994</v>
      </c>
      <c r="L75" s="11" t="s">
        <v>49</v>
      </c>
      <c r="M75" s="11" t="s">
        <v>241</v>
      </c>
      <c r="N75" s="11">
        <v>96.5</v>
      </c>
    </row>
    <row r="76" spans="1:14" x14ac:dyDescent="0.2">
      <c r="A76" s="11" t="s">
        <v>565</v>
      </c>
      <c r="B76" s="11" t="s">
        <v>237</v>
      </c>
      <c r="C76" s="11">
        <v>135</v>
      </c>
      <c r="D76" s="11" t="s">
        <v>238</v>
      </c>
      <c r="E76" s="11">
        <v>12</v>
      </c>
      <c r="F76" s="11">
        <v>90000</v>
      </c>
      <c r="G76" s="11" t="s">
        <v>566</v>
      </c>
      <c r="H76" s="11" t="s">
        <v>75</v>
      </c>
      <c r="I76" s="11" t="s">
        <v>240</v>
      </c>
      <c r="J76" s="11" t="s">
        <v>34</v>
      </c>
      <c r="K76" s="11">
        <v>90</v>
      </c>
      <c r="L76" s="11" t="s">
        <v>49</v>
      </c>
      <c r="M76" s="11" t="s">
        <v>241</v>
      </c>
      <c r="N76" s="11">
        <v>130.5</v>
      </c>
    </row>
    <row r="77" spans="1:14" x14ac:dyDescent="0.2">
      <c r="A77" s="11" t="s">
        <v>567</v>
      </c>
      <c r="B77" s="11" t="s">
        <v>237</v>
      </c>
      <c r="C77" s="11">
        <v>150</v>
      </c>
      <c r="D77" s="11" t="s">
        <v>238</v>
      </c>
      <c r="E77" s="11">
        <v>12</v>
      </c>
      <c r="F77" s="11">
        <v>100000</v>
      </c>
      <c r="G77" s="11" t="s">
        <v>566</v>
      </c>
      <c r="H77" s="11" t="s">
        <v>75</v>
      </c>
      <c r="I77" s="11" t="s">
        <v>240</v>
      </c>
      <c r="J77" s="11" t="s">
        <v>34</v>
      </c>
      <c r="K77" s="11">
        <v>100</v>
      </c>
      <c r="L77" s="11" t="s">
        <v>49</v>
      </c>
      <c r="M77" s="11" t="s">
        <v>241</v>
      </c>
      <c r="N77" s="11">
        <v>144.75</v>
      </c>
    </row>
    <row r="79" spans="1:14" x14ac:dyDescent="0.2">
      <c r="A79" s="11" t="s">
        <v>568</v>
      </c>
      <c r="B79" s="11" t="s">
        <v>237</v>
      </c>
      <c r="C79" s="11">
        <v>485</v>
      </c>
      <c r="D79" s="11" t="s">
        <v>415</v>
      </c>
      <c r="E79" s="11">
        <v>1</v>
      </c>
      <c r="F79" s="11">
        <v>0</v>
      </c>
      <c r="G79" s="11" t="s">
        <v>569</v>
      </c>
      <c r="H79" s="11" t="s">
        <v>413</v>
      </c>
      <c r="I79" s="11" t="s">
        <v>258</v>
      </c>
      <c r="J79" s="11" t="s">
        <v>34</v>
      </c>
      <c r="K79" s="11">
        <v>0</v>
      </c>
      <c r="L79" s="11" t="s">
        <v>50</v>
      </c>
      <c r="M79" s="11" t="s">
        <v>380</v>
      </c>
      <c r="N79" s="11">
        <v>0</v>
      </c>
    </row>
    <row r="80" spans="1:14" x14ac:dyDescent="0.2">
      <c r="A80" s="11" t="s">
        <v>410</v>
      </c>
      <c r="B80" s="11" t="s">
        <v>237</v>
      </c>
      <c r="C80" s="11">
        <v>700</v>
      </c>
      <c r="D80" s="11" t="s">
        <v>411</v>
      </c>
      <c r="E80" s="11">
        <v>1</v>
      </c>
      <c r="F80" s="11">
        <v>0</v>
      </c>
      <c r="G80" s="11" t="s">
        <v>412</v>
      </c>
      <c r="H80" s="11" t="s">
        <v>413</v>
      </c>
      <c r="I80" s="11" t="s">
        <v>258</v>
      </c>
      <c r="J80" s="11" t="s">
        <v>34</v>
      </c>
      <c r="K80" s="11">
        <v>0</v>
      </c>
      <c r="L80" s="11" t="s">
        <v>50</v>
      </c>
      <c r="M80" s="11" t="s">
        <v>380</v>
      </c>
      <c r="N80" s="11">
        <v>0</v>
      </c>
    </row>
    <row r="81" spans="1:14" x14ac:dyDescent="0.2">
      <c r="A81" s="11" t="s">
        <v>414</v>
      </c>
      <c r="B81" s="11" t="s">
        <v>237</v>
      </c>
      <c r="C81" s="11">
        <v>730</v>
      </c>
      <c r="D81" s="11" t="s">
        <v>415</v>
      </c>
      <c r="E81" s="11">
        <v>1</v>
      </c>
      <c r="F81" s="11">
        <v>0</v>
      </c>
      <c r="G81" s="11" t="s">
        <v>416</v>
      </c>
      <c r="H81" s="11" t="s">
        <v>413</v>
      </c>
      <c r="I81" s="11" t="s">
        <v>258</v>
      </c>
      <c r="J81" s="11" t="s">
        <v>34</v>
      </c>
      <c r="K81" s="11">
        <v>0</v>
      </c>
      <c r="L81" s="11" t="s">
        <v>50</v>
      </c>
      <c r="M81" s="11" t="s">
        <v>380</v>
      </c>
      <c r="N81" s="11">
        <v>0</v>
      </c>
    </row>
    <row r="82" spans="1:14" x14ac:dyDescent="0.2">
      <c r="A82" s="11" t="s">
        <v>417</v>
      </c>
      <c r="B82" s="11" t="s">
        <v>237</v>
      </c>
      <c r="C82" s="11">
        <v>800</v>
      </c>
      <c r="D82" s="11" t="s">
        <v>418</v>
      </c>
      <c r="E82" s="11">
        <v>1</v>
      </c>
      <c r="F82" s="11">
        <v>0</v>
      </c>
      <c r="G82" s="11" t="s">
        <v>419</v>
      </c>
      <c r="H82" s="11" t="s">
        <v>413</v>
      </c>
      <c r="I82" s="11" t="s">
        <v>258</v>
      </c>
      <c r="J82" s="11" t="s">
        <v>34</v>
      </c>
      <c r="K82" s="11">
        <v>0</v>
      </c>
      <c r="L82" s="11" t="s">
        <v>50</v>
      </c>
      <c r="M82" s="11" t="s">
        <v>380</v>
      </c>
      <c r="N82" s="11">
        <v>0</v>
      </c>
    </row>
    <row r="83" spans="1:14" x14ac:dyDescent="0.2">
      <c r="A83" s="11" t="s">
        <v>420</v>
      </c>
      <c r="B83" s="11" t="s">
        <v>237</v>
      </c>
      <c r="C83" s="11">
        <v>800</v>
      </c>
      <c r="D83" s="11" t="s">
        <v>415</v>
      </c>
      <c r="E83" s="11">
        <v>1</v>
      </c>
      <c r="F83" s="11">
        <v>0</v>
      </c>
      <c r="G83" s="11" t="s">
        <v>416</v>
      </c>
      <c r="H83" s="11" t="s">
        <v>413</v>
      </c>
      <c r="I83" s="11" t="s">
        <v>258</v>
      </c>
      <c r="J83" s="11" t="s">
        <v>34</v>
      </c>
      <c r="K83" s="11">
        <v>0</v>
      </c>
      <c r="L83" s="11" t="s">
        <v>50</v>
      </c>
      <c r="M83" s="11" t="s">
        <v>380</v>
      </c>
      <c r="N83" s="11">
        <v>0</v>
      </c>
    </row>
    <row r="84" spans="1:14" x14ac:dyDescent="0.2">
      <c r="A84" s="11" t="s">
        <v>421</v>
      </c>
      <c r="B84" s="11" t="s">
        <v>237</v>
      </c>
      <c r="C84" s="11">
        <v>850</v>
      </c>
      <c r="D84" s="11" t="s">
        <v>415</v>
      </c>
      <c r="E84" s="11">
        <v>1</v>
      </c>
      <c r="F84" s="11">
        <v>0</v>
      </c>
      <c r="G84" s="11" t="s">
        <v>422</v>
      </c>
      <c r="H84" s="11" t="s">
        <v>413</v>
      </c>
      <c r="I84" s="11" t="s">
        <v>258</v>
      </c>
      <c r="J84" s="11" t="s">
        <v>34</v>
      </c>
      <c r="K84" s="11">
        <v>0</v>
      </c>
      <c r="L84" s="11" t="s">
        <v>50</v>
      </c>
      <c r="M84" s="11" t="s">
        <v>380</v>
      </c>
      <c r="N84" s="11">
        <v>0</v>
      </c>
    </row>
    <row r="85" spans="1:14" x14ac:dyDescent="0.2">
      <c r="A85" s="11" t="s">
        <v>423</v>
      </c>
      <c r="B85" s="11" t="s">
        <v>237</v>
      </c>
      <c r="C85" s="11">
        <v>950</v>
      </c>
      <c r="D85" s="11" t="s">
        <v>415</v>
      </c>
      <c r="E85" s="11">
        <v>1</v>
      </c>
      <c r="F85" s="11">
        <v>0</v>
      </c>
      <c r="G85" s="11" t="s">
        <v>422</v>
      </c>
      <c r="H85" s="11" t="s">
        <v>413</v>
      </c>
      <c r="I85" s="11" t="s">
        <v>258</v>
      </c>
      <c r="J85" s="11" t="s">
        <v>34</v>
      </c>
      <c r="K85" s="11">
        <v>0</v>
      </c>
      <c r="L85" s="11" t="s">
        <v>50</v>
      </c>
      <c r="M85" s="11" t="s">
        <v>380</v>
      </c>
      <c r="N85" s="11">
        <v>0</v>
      </c>
    </row>
    <row r="86" spans="1:14" x14ac:dyDescent="0.2">
      <c r="A86" s="11" t="s">
        <v>424</v>
      </c>
      <c r="B86" s="11" t="s">
        <v>237</v>
      </c>
      <c r="C86" s="11">
        <v>1100</v>
      </c>
      <c r="D86" s="11" t="s">
        <v>415</v>
      </c>
      <c r="E86" s="11">
        <v>1</v>
      </c>
      <c r="F86" s="11">
        <v>0</v>
      </c>
      <c r="G86" s="11" t="s">
        <v>422</v>
      </c>
      <c r="H86" s="11" t="s">
        <v>413</v>
      </c>
      <c r="I86" s="11" t="s">
        <v>258</v>
      </c>
      <c r="J86" s="11" t="s">
        <v>34</v>
      </c>
      <c r="K86" s="11">
        <v>0</v>
      </c>
      <c r="L86" s="11" t="s">
        <v>50</v>
      </c>
      <c r="M86" s="11" t="s">
        <v>380</v>
      </c>
      <c r="N86" s="11">
        <v>0</v>
      </c>
    </row>
    <row r="89" spans="1:14" x14ac:dyDescent="0.2">
      <c r="A89" s="11" t="s">
        <v>386</v>
      </c>
      <c r="B89" s="11" t="s">
        <v>254</v>
      </c>
      <c r="C89" s="11">
        <v>440</v>
      </c>
      <c r="D89" s="11" t="s">
        <v>387</v>
      </c>
      <c r="E89" s="11">
        <v>1</v>
      </c>
      <c r="F89" s="11">
        <v>290</v>
      </c>
      <c r="G89" s="11" t="s">
        <v>388</v>
      </c>
      <c r="H89" s="11" t="s">
        <v>257</v>
      </c>
      <c r="I89" s="11" t="s">
        <v>258</v>
      </c>
      <c r="J89" s="11" t="s">
        <v>34</v>
      </c>
      <c r="K89" s="11">
        <v>0.29499999999999998</v>
      </c>
      <c r="L89" s="11" t="s">
        <v>50</v>
      </c>
      <c r="M89" s="11" t="s">
        <v>259</v>
      </c>
      <c r="N89" s="11">
        <v>1.26</v>
      </c>
    </row>
    <row r="91" spans="1:14" x14ac:dyDescent="0.2">
      <c r="A91" s="11" t="s">
        <v>243</v>
      </c>
      <c r="B91" s="11" t="s">
        <v>244</v>
      </c>
      <c r="C91" s="11" t="s">
        <v>245</v>
      </c>
      <c r="E91" s="11">
        <v>10</v>
      </c>
      <c r="F91" s="11">
        <v>50000</v>
      </c>
      <c r="H91" s="11" t="s">
        <v>66</v>
      </c>
      <c r="I91" s="11" t="s">
        <v>246</v>
      </c>
      <c r="J91" s="11" t="s">
        <v>34</v>
      </c>
      <c r="K91" s="11">
        <v>50</v>
      </c>
      <c r="L91" s="11" t="s">
        <v>49</v>
      </c>
      <c r="M91" s="11" t="s">
        <v>247</v>
      </c>
    </row>
    <row r="94" spans="1:14" x14ac:dyDescent="0.2">
      <c r="A94" s="11" t="s">
        <v>248</v>
      </c>
      <c r="B94" s="11" t="s">
        <v>249</v>
      </c>
      <c r="C94" s="11">
        <v>3.63</v>
      </c>
      <c r="D94" s="11" t="s">
        <v>250</v>
      </c>
      <c r="E94" s="11">
        <v>1</v>
      </c>
      <c r="F94" s="11">
        <v>3000</v>
      </c>
      <c r="G94" s="11" t="s">
        <v>251</v>
      </c>
      <c r="H94" s="11" t="s">
        <v>75</v>
      </c>
      <c r="I94" s="11" t="s">
        <v>252</v>
      </c>
      <c r="J94" s="11" t="s">
        <v>34</v>
      </c>
      <c r="K94" s="11">
        <v>3</v>
      </c>
      <c r="L94" s="11" t="s">
        <v>50</v>
      </c>
      <c r="M94" s="11" t="s">
        <v>249</v>
      </c>
      <c r="N94" s="11">
        <v>14.5</v>
      </c>
    </row>
    <row r="95" spans="1:14" x14ac:dyDescent="0.2">
      <c r="A95" s="11" t="s">
        <v>253</v>
      </c>
      <c r="B95" s="11" t="s">
        <v>254</v>
      </c>
      <c r="C95" s="11">
        <v>350</v>
      </c>
      <c r="D95" s="11" t="s">
        <v>255</v>
      </c>
      <c r="E95" s="11">
        <v>1</v>
      </c>
      <c r="F95" s="11">
        <v>250</v>
      </c>
      <c r="G95" s="11" t="s">
        <v>256</v>
      </c>
      <c r="H95" s="11" t="s">
        <v>257</v>
      </c>
      <c r="I95" s="11" t="s">
        <v>258</v>
      </c>
      <c r="J95" s="11" t="s">
        <v>34</v>
      </c>
      <c r="K95" s="11">
        <v>0.25800000000000001</v>
      </c>
      <c r="L95" s="11" t="s">
        <v>50</v>
      </c>
      <c r="M95" s="11" t="s">
        <v>259</v>
      </c>
      <c r="N95" s="11">
        <v>1.0900000000000001</v>
      </c>
    </row>
    <row r="98" spans="1:14" x14ac:dyDescent="0.2">
      <c r="A98" s="11" t="s">
        <v>615</v>
      </c>
      <c r="B98" s="11" t="s">
        <v>82</v>
      </c>
      <c r="D98" s="11" t="s">
        <v>616</v>
      </c>
      <c r="F98" s="11">
        <v>5</v>
      </c>
      <c r="G98" s="11" t="s">
        <v>617</v>
      </c>
      <c r="H98" s="11" t="s">
        <v>75</v>
      </c>
      <c r="I98" s="11" t="s">
        <v>618</v>
      </c>
      <c r="J98" s="11" t="s">
        <v>34</v>
      </c>
      <c r="K98" s="11">
        <v>2.5</v>
      </c>
      <c r="L98" s="11" t="s">
        <v>49</v>
      </c>
      <c r="M98" s="11" t="s">
        <v>84</v>
      </c>
      <c r="N98" s="11">
        <v>0</v>
      </c>
    </row>
    <row r="99" spans="1:14" x14ac:dyDescent="0.2">
      <c r="A99" s="11" t="s">
        <v>619</v>
      </c>
      <c r="B99" s="11" t="s">
        <v>82</v>
      </c>
      <c r="D99" s="11" t="s">
        <v>616</v>
      </c>
      <c r="F99" s="11">
        <v>10</v>
      </c>
      <c r="G99" s="11" t="s">
        <v>620</v>
      </c>
      <c r="H99" s="11" t="s">
        <v>75</v>
      </c>
      <c r="I99" s="11" t="s">
        <v>621</v>
      </c>
      <c r="J99" s="11" t="s">
        <v>34</v>
      </c>
      <c r="K99" s="11">
        <v>5</v>
      </c>
      <c r="L99" s="11" t="s">
        <v>49</v>
      </c>
      <c r="M99" s="11" t="s">
        <v>84</v>
      </c>
      <c r="N99" s="11">
        <v>0</v>
      </c>
    </row>
    <row r="100" spans="1:14" x14ac:dyDescent="0.2">
      <c r="A100" s="11" t="s">
        <v>622</v>
      </c>
      <c r="B100" s="11" t="s">
        <v>82</v>
      </c>
      <c r="D100" s="11" t="s">
        <v>616</v>
      </c>
      <c r="F100" s="11">
        <v>15</v>
      </c>
      <c r="G100" s="11" t="s">
        <v>623</v>
      </c>
      <c r="H100" s="11" t="s">
        <v>75</v>
      </c>
      <c r="I100" s="11" t="s">
        <v>621</v>
      </c>
      <c r="J100" s="11" t="s">
        <v>34</v>
      </c>
      <c r="K100" s="11">
        <v>5</v>
      </c>
      <c r="L100" s="11" t="s">
        <v>49</v>
      </c>
      <c r="M100" s="11" t="s">
        <v>84</v>
      </c>
      <c r="N100" s="1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R81"/>
  <sheetViews>
    <sheetView workbookViewId="0">
      <selection activeCell="C31" sqref="C31"/>
    </sheetView>
  </sheetViews>
  <sheetFormatPr baseColWidth="10" defaultRowHeight="12.75" x14ac:dyDescent="0.2"/>
  <cols>
    <col min="1" max="1" width="34.140625" customWidth="1"/>
    <col min="2" max="2" width="30.42578125" customWidth="1"/>
  </cols>
  <sheetData>
    <row r="1" spans="1:18" x14ac:dyDescent="0.2">
      <c r="A1" t="s">
        <v>15</v>
      </c>
      <c r="B1" t="s">
        <v>9</v>
      </c>
      <c r="C1" t="s">
        <v>14</v>
      </c>
      <c r="D1" t="s">
        <v>17</v>
      </c>
      <c r="E1" t="s">
        <v>18</v>
      </c>
      <c r="F1" t="s">
        <v>6</v>
      </c>
      <c r="G1" t="s">
        <v>11</v>
      </c>
      <c r="H1" t="s">
        <v>16</v>
      </c>
      <c r="I1" t="s">
        <v>2</v>
      </c>
      <c r="J1" t="s">
        <v>19</v>
      </c>
      <c r="K1" t="s">
        <v>22</v>
      </c>
      <c r="N1" t="s">
        <v>1</v>
      </c>
      <c r="O1" t="s">
        <v>24</v>
      </c>
      <c r="P1" t="s">
        <v>25</v>
      </c>
      <c r="Q1" t="s">
        <v>26</v>
      </c>
    </row>
    <row r="2" spans="1:18" x14ac:dyDescent="0.2">
      <c r="A2" t="s">
        <v>96</v>
      </c>
    </row>
    <row r="3" spans="1:18" x14ac:dyDescent="0.2">
      <c r="A3" t="s">
        <v>260</v>
      </c>
      <c r="B3" t="s">
        <v>570</v>
      </c>
      <c r="C3" t="s">
        <v>68</v>
      </c>
      <c r="D3">
        <v>1.67</v>
      </c>
      <c r="E3">
        <v>1</v>
      </c>
      <c r="F3">
        <v>1.67</v>
      </c>
      <c r="G3" t="s">
        <v>12</v>
      </c>
      <c r="H3">
        <v>280</v>
      </c>
      <c r="I3" t="s">
        <v>73</v>
      </c>
      <c r="J3" t="s">
        <v>21</v>
      </c>
      <c r="K3" t="s">
        <v>23</v>
      </c>
      <c r="N3" t="s">
        <v>27</v>
      </c>
      <c r="O3">
        <v>32</v>
      </c>
      <c r="P3" t="s">
        <v>67</v>
      </c>
      <c r="Q3" t="s">
        <v>7</v>
      </c>
      <c r="R3" t="s">
        <v>261</v>
      </c>
    </row>
    <row r="4" spans="1:18" x14ac:dyDescent="0.2">
      <c r="A4" t="s">
        <v>451</v>
      </c>
      <c r="B4" t="s">
        <v>451</v>
      </c>
      <c r="C4" t="s">
        <v>68</v>
      </c>
      <c r="D4">
        <v>1.67</v>
      </c>
      <c r="E4">
        <v>1</v>
      </c>
      <c r="F4">
        <v>1.67</v>
      </c>
      <c r="H4">
        <v>280</v>
      </c>
      <c r="I4" t="s">
        <v>73</v>
      </c>
      <c r="O4">
        <v>32</v>
      </c>
      <c r="P4" t="s">
        <v>67</v>
      </c>
      <c r="Q4" t="s">
        <v>7</v>
      </c>
      <c r="R4" t="s">
        <v>452</v>
      </c>
    </row>
    <row r="5" spans="1:18" x14ac:dyDescent="0.2">
      <c r="A5" t="s">
        <v>504</v>
      </c>
      <c r="B5" t="s">
        <v>504</v>
      </c>
      <c r="C5" t="s">
        <v>68</v>
      </c>
      <c r="D5">
        <v>1.67</v>
      </c>
      <c r="E5">
        <v>1</v>
      </c>
      <c r="F5">
        <v>1.67</v>
      </c>
      <c r="H5">
        <v>285</v>
      </c>
      <c r="I5" t="s">
        <v>73</v>
      </c>
      <c r="O5">
        <v>32</v>
      </c>
      <c r="P5" t="s">
        <v>67</v>
      </c>
      <c r="Q5" t="s">
        <v>7</v>
      </c>
      <c r="R5" t="s">
        <v>505</v>
      </c>
    </row>
    <row r="6" spans="1:18" x14ac:dyDescent="0.2">
      <c r="A6" t="s">
        <v>155</v>
      </c>
      <c r="B6" t="s">
        <v>571</v>
      </c>
      <c r="C6" t="s">
        <v>68</v>
      </c>
      <c r="D6">
        <v>1.67</v>
      </c>
      <c r="E6">
        <v>1</v>
      </c>
      <c r="F6">
        <v>1.67</v>
      </c>
      <c r="G6" t="s">
        <v>12</v>
      </c>
      <c r="H6">
        <v>285</v>
      </c>
      <c r="I6" t="s">
        <v>73</v>
      </c>
      <c r="J6" t="s">
        <v>21</v>
      </c>
      <c r="K6" t="s">
        <v>23</v>
      </c>
      <c r="N6" t="s">
        <v>27</v>
      </c>
      <c r="O6">
        <v>32</v>
      </c>
      <c r="P6" t="s">
        <v>67</v>
      </c>
      <c r="Q6" t="s">
        <v>7</v>
      </c>
      <c r="R6" t="s">
        <v>156</v>
      </c>
    </row>
    <row r="7" spans="1:18" x14ac:dyDescent="0.2">
      <c r="A7" t="s">
        <v>118</v>
      </c>
      <c r="B7" t="s">
        <v>572</v>
      </c>
      <c r="C7" t="s">
        <v>68</v>
      </c>
      <c r="D7">
        <v>1.67</v>
      </c>
      <c r="E7">
        <v>1</v>
      </c>
      <c r="F7">
        <v>1.67</v>
      </c>
      <c r="G7" t="s">
        <v>12</v>
      </c>
      <c r="H7">
        <v>290</v>
      </c>
      <c r="I7" t="s">
        <v>73</v>
      </c>
      <c r="J7" t="s">
        <v>21</v>
      </c>
      <c r="K7" t="s">
        <v>23</v>
      </c>
      <c r="N7" t="s">
        <v>27</v>
      </c>
      <c r="O7">
        <v>32</v>
      </c>
      <c r="P7" t="s">
        <v>67</v>
      </c>
      <c r="Q7" t="s">
        <v>7</v>
      </c>
      <c r="R7" t="s">
        <v>119</v>
      </c>
    </row>
    <row r="8" spans="1:18" x14ac:dyDescent="0.2">
      <c r="A8" t="s">
        <v>120</v>
      </c>
      <c r="B8" t="s">
        <v>121</v>
      </c>
      <c r="C8" t="s">
        <v>68</v>
      </c>
      <c r="D8">
        <v>1.6850000000000001</v>
      </c>
      <c r="E8">
        <v>1</v>
      </c>
      <c r="F8">
        <v>1.6850000000000001</v>
      </c>
      <c r="G8" t="s">
        <v>69</v>
      </c>
      <c r="H8">
        <v>300</v>
      </c>
      <c r="I8" t="s">
        <v>73</v>
      </c>
      <c r="J8" t="s">
        <v>20</v>
      </c>
      <c r="K8" t="s">
        <v>23</v>
      </c>
      <c r="N8" t="s">
        <v>27</v>
      </c>
      <c r="O8">
        <v>32</v>
      </c>
      <c r="P8" t="s">
        <v>67</v>
      </c>
      <c r="Q8" t="s">
        <v>7</v>
      </c>
      <c r="R8" t="s">
        <v>122</v>
      </c>
    </row>
    <row r="9" spans="1:18" x14ac:dyDescent="0.2">
      <c r="A9" t="s">
        <v>573</v>
      </c>
      <c r="B9" t="s">
        <v>574</v>
      </c>
      <c r="C9" t="s">
        <v>68</v>
      </c>
      <c r="D9">
        <v>1.67</v>
      </c>
      <c r="E9">
        <v>1</v>
      </c>
      <c r="F9">
        <v>1.67</v>
      </c>
      <c r="G9" t="s">
        <v>69</v>
      </c>
      <c r="H9">
        <v>295</v>
      </c>
      <c r="I9" t="s">
        <v>73</v>
      </c>
      <c r="J9" t="s">
        <v>20</v>
      </c>
      <c r="K9" t="s">
        <v>91</v>
      </c>
      <c r="N9" t="s">
        <v>92</v>
      </c>
      <c r="O9">
        <v>32</v>
      </c>
      <c r="P9" t="s">
        <v>67</v>
      </c>
      <c r="Q9" t="s">
        <v>7</v>
      </c>
      <c r="R9" t="s">
        <v>157</v>
      </c>
    </row>
    <row r="10" spans="1:18" x14ac:dyDescent="0.2">
      <c r="A10" t="s">
        <v>99</v>
      </c>
      <c r="B10" t="s">
        <v>575</v>
      </c>
      <c r="C10" t="s">
        <v>68</v>
      </c>
      <c r="D10">
        <v>1.67</v>
      </c>
      <c r="E10">
        <v>1</v>
      </c>
      <c r="F10">
        <v>1.67</v>
      </c>
      <c r="G10" t="s">
        <v>69</v>
      </c>
      <c r="H10">
        <v>300</v>
      </c>
      <c r="I10" t="s">
        <v>73</v>
      </c>
      <c r="J10" t="s">
        <v>20</v>
      </c>
      <c r="K10" t="s">
        <v>91</v>
      </c>
      <c r="N10" t="s">
        <v>92</v>
      </c>
      <c r="O10">
        <v>32</v>
      </c>
      <c r="P10" t="s">
        <v>67</v>
      </c>
      <c r="Q10" t="s">
        <v>7</v>
      </c>
      <c r="R10" t="s">
        <v>100</v>
      </c>
    </row>
    <row r="11" spans="1:18" x14ac:dyDescent="0.2">
      <c r="A11" t="s">
        <v>389</v>
      </c>
      <c r="B11" t="s">
        <v>576</v>
      </c>
      <c r="C11" t="s">
        <v>68</v>
      </c>
      <c r="D11">
        <v>1.67</v>
      </c>
      <c r="E11">
        <v>1</v>
      </c>
      <c r="F11">
        <v>1.67</v>
      </c>
      <c r="G11" t="s">
        <v>69</v>
      </c>
      <c r="H11">
        <v>300</v>
      </c>
      <c r="I11" t="s">
        <v>73</v>
      </c>
      <c r="J11" t="s">
        <v>20</v>
      </c>
      <c r="K11" t="s">
        <v>91</v>
      </c>
      <c r="N11" t="s">
        <v>92</v>
      </c>
      <c r="O11">
        <v>32</v>
      </c>
      <c r="P11" t="s">
        <v>67</v>
      </c>
      <c r="Q11" t="s">
        <v>274</v>
      </c>
      <c r="R11" t="s">
        <v>390</v>
      </c>
    </row>
    <row r="12" spans="1:18" x14ac:dyDescent="0.2">
      <c r="A12" t="s">
        <v>317</v>
      </c>
      <c r="B12" t="s">
        <v>577</v>
      </c>
      <c r="C12" t="s">
        <v>68</v>
      </c>
      <c r="D12">
        <v>1670</v>
      </c>
      <c r="E12">
        <v>1</v>
      </c>
      <c r="F12">
        <v>1.67</v>
      </c>
      <c r="G12" t="s">
        <v>69</v>
      </c>
      <c r="H12">
        <v>305</v>
      </c>
      <c r="I12" t="s">
        <v>73</v>
      </c>
      <c r="J12" t="s">
        <v>20</v>
      </c>
      <c r="K12" t="s">
        <v>91</v>
      </c>
      <c r="N12" t="s">
        <v>299</v>
      </c>
      <c r="O12">
        <v>32</v>
      </c>
      <c r="P12" t="s">
        <v>67</v>
      </c>
      <c r="Q12" t="s">
        <v>7</v>
      </c>
      <c r="R12" t="s">
        <v>307</v>
      </c>
    </row>
    <row r="13" spans="1:18" x14ac:dyDescent="0.2">
      <c r="A13" t="s">
        <v>318</v>
      </c>
      <c r="B13" t="s">
        <v>577</v>
      </c>
      <c r="C13" t="s">
        <v>68</v>
      </c>
      <c r="D13">
        <v>1670</v>
      </c>
      <c r="E13">
        <v>1</v>
      </c>
      <c r="F13">
        <v>1.67</v>
      </c>
      <c r="G13" t="s">
        <v>69</v>
      </c>
      <c r="H13">
        <v>305</v>
      </c>
      <c r="I13" t="s">
        <v>73</v>
      </c>
      <c r="J13" t="s">
        <v>20</v>
      </c>
      <c r="K13" t="s">
        <v>91</v>
      </c>
      <c r="N13" t="s">
        <v>299</v>
      </c>
      <c r="O13">
        <v>32</v>
      </c>
      <c r="P13" t="s">
        <v>67</v>
      </c>
      <c r="Q13" t="s">
        <v>7</v>
      </c>
      <c r="R13" t="s">
        <v>307</v>
      </c>
    </row>
    <row r="14" spans="1:18" x14ac:dyDescent="0.2">
      <c r="A14" t="s">
        <v>425</v>
      </c>
      <c r="B14" t="s">
        <v>578</v>
      </c>
      <c r="C14" t="s">
        <v>68</v>
      </c>
      <c r="D14">
        <v>1670</v>
      </c>
      <c r="E14">
        <v>1</v>
      </c>
      <c r="F14">
        <v>1.67</v>
      </c>
      <c r="G14" t="s">
        <v>69</v>
      </c>
      <c r="H14">
        <v>305</v>
      </c>
      <c r="I14" t="s">
        <v>73</v>
      </c>
      <c r="J14" t="s">
        <v>20</v>
      </c>
      <c r="K14" t="s">
        <v>91</v>
      </c>
      <c r="N14" t="s">
        <v>299</v>
      </c>
      <c r="O14">
        <v>32</v>
      </c>
      <c r="P14" t="s">
        <v>67</v>
      </c>
      <c r="Q14" t="s">
        <v>7</v>
      </c>
      <c r="R14" t="s">
        <v>307</v>
      </c>
    </row>
    <row r="15" spans="1:18" x14ac:dyDescent="0.2">
      <c r="A15" t="s">
        <v>579</v>
      </c>
      <c r="B15" t="s">
        <v>580</v>
      </c>
      <c r="C15" t="s">
        <v>68</v>
      </c>
      <c r="D15">
        <v>1670</v>
      </c>
      <c r="E15">
        <v>1</v>
      </c>
      <c r="F15">
        <v>1.67</v>
      </c>
      <c r="G15" t="s">
        <v>69</v>
      </c>
      <c r="H15">
        <v>305</v>
      </c>
      <c r="I15" t="s">
        <v>73</v>
      </c>
      <c r="J15" t="s">
        <v>20</v>
      </c>
      <c r="K15" t="s">
        <v>91</v>
      </c>
      <c r="N15" t="s">
        <v>299</v>
      </c>
      <c r="O15">
        <v>32</v>
      </c>
      <c r="P15" t="s">
        <v>67</v>
      </c>
      <c r="Q15" t="s">
        <v>7</v>
      </c>
      <c r="R15" t="s">
        <v>307</v>
      </c>
    </row>
    <row r="16" spans="1:18" x14ac:dyDescent="0.2">
      <c r="A16" t="s">
        <v>305</v>
      </c>
      <c r="B16" t="s">
        <v>306</v>
      </c>
      <c r="C16" t="s">
        <v>68</v>
      </c>
      <c r="D16">
        <v>1.6850000000000001</v>
      </c>
      <c r="E16">
        <v>1</v>
      </c>
      <c r="F16">
        <v>1.6850000000000001</v>
      </c>
      <c r="G16" t="s">
        <v>69</v>
      </c>
      <c r="H16">
        <v>305</v>
      </c>
      <c r="I16" t="s">
        <v>73</v>
      </c>
      <c r="J16" t="s">
        <v>20</v>
      </c>
      <c r="K16" t="s">
        <v>91</v>
      </c>
      <c r="N16" t="s">
        <v>299</v>
      </c>
      <c r="O16">
        <v>32</v>
      </c>
      <c r="P16" t="s">
        <v>67</v>
      </c>
      <c r="Q16" t="s">
        <v>7</v>
      </c>
      <c r="R16" t="s">
        <v>307</v>
      </c>
    </row>
    <row r="17" spans="1:18" x14ac:dyDescent="0.2">
      <c r="A17" t="s">
        <v>262</v>
      </c>
      <c r="B17" t="s">
        <v>581</v>
      </c>
      <c r="C17" t="s">
        <v>68</v>
      </c>
      <c r="D17">
        <v>1.67</v>
      </c>
      <c r="E17">
        <v>1</v>
      </c>
      <c r="F17">
        <v>1.67</v>
      </c>
      <c r="G17" t="s">
        <v>69</v>
      </c>
      <c r="H17">
        <v>310</v>
      </c>
      <c r="I17" t="s">
        <v>73</v>
      </c>
      <c r="J17" t="s">
        <v>20</v>
      </c>
      <c r="K17" t="s">
        <v>91</v>
      </c>
      <c r="N17" t="s">
        <v>92</v>
      </c>
      <c r="O17">
        <v>32</v>
      </c>
      <c r="P17" t="s">
        <v>67</v>
      </c>
      <c r="Q17" t="s">
        <v>7</v>
      </c>
      <c r="R17" t="s">
        <v>263</v>
      </c>
    </row>
    <row r="18" spans="1:18" x14ac:dyDescent="0.2">
      <c r="A18" t="s">
        <v>264</v>
      </c>
      <c r="B18" t="s">
        <v>582</v>
      </c>
      <c r="C18" t="s">
        <v>68</v>
      </c>
      <c r="D18">
        <v>1.67</v>
      </c>
      <c r="E18">
        <v>1</v>
      </c>
      <c r="F18">
        <v>1.67</v>
      </c>
      <c r="G18" t="s">
        <v>69</v>
      </c>
      <c r="H18">
        <v>315</v>
      </c>
      <c r="I18" t="s">
        <v>73</v>
      </c>
      <c r="J18" t="s">
        <v>20</v>
      </c>
      <c r="K18" t="s">
        <v>91</v>
      </c>
      <c r="N18" t="s">
        <v>92</v>
      </c>
      <c r="O18">
        <v>32</v>
      </c>
      <c r="P18" t="s">
        <v>67</v>
      </c>
      <c r="Q18" t="s">
        <v>7</v>
      </c>
      <c r="R18" t="s">
        <v>265</v>
      </c>
    </row>
    <row r="19" spans="1:18" x14ac:dyDescent="0.2">
      <c r="A19" t="s">
        <v>266</v>
      </c>
      <c r="B19" t="s">
        <v>267</v>
      </c>
      <c r="C19" t="s">
        <v>68</v>
      </c>
      <c r="D19">
        <v>1.6850000000000001</v>
      </c>
      <c r="E19">
        <v>1</v>
      </c>
      <c r="F19">
        <v>1.6850000000000001</v>
      </c>
      <c r="G19" t="s">
        <v>69</v>
      </c>
      <c r="H19">
        <v>320</v>
      </c>
      <c r="I19" t="s">
        <v>73</v>
      </c>
      <c r="J19" t="s">
        <v>20</v>
      </c>
      <c r="K19" t="s">
        <v>91</v>
      </c>
      <c r="N19" t="s">
        <v>92</v>
      </c>
      <c r="O19">
        <v>32</v>
      </c>
      <c r="P19" t="s">
        <v>67</v>
      </c>
      <c r="Q19" t="s">
        <v>7</v>
      </c>
      <c r="R19" t="s">
        <v>268</v>
      </c>
    </row>
    <row r="20" spans="1:18" x14ac:dyDescent="0.2">
      <c r="A20" t="s">
        <v>498</v>
      </c>
      <c r="B20" t="s">
        <v>499</v>
      </c>
      <c r="C20" t="s">
        <v>68</v>
      </c>
      <c r="D20">
        <v>1.6850000000000001</v>
      </c>
      <c r="E20">
        <v>1</v>
      </c>
      <c r="F20">
        <v>1.6850000000000001</v>
      </c>
      <c r="G20" t="s">
        <v>69</v>
      </c>
      <c r="H20">
        <v>320</v>
      </c>
      <c r="I20" t="s">
        <v>73</v>
      </c>
      <c r="J20" t="s">
        <v>20</v>
      </c>
      <c r="K20" t="s">
        <v>91</v>
      </c>
      <c r="N20" t="s">
        <v>92</v>
      </c>
      <c r="O20">
        <v>32</v>
      </c>
      <c r="P20" t="s">
        <v>67</v>
      </c>
      <c r="Q20" t="s">
        <v>7</v>
      </c>
      <c r="R20" t="s">
        <v>500</v>
      </c>
    </row>
    <row r="21" spans="1:18" x14ac:dyDescent="0.2">
      <c r="A21" t="s">
        <v>269</v>
      </c>
      <c r="B21" t="s">
        <v>270</v>
      </c>
      <c r="C21" t="s">
        <v>68</v>
      </c>
      <c r="D21">
        <v>1.6850000000000001</v>
      </c>
      <c r="E21">
        <v>1</v>
      </c>
      <c r="F21">
        <v>1.6850000000000001</v>
      </c>
      <c r="G21" t="s">
        <v>12</v>
      </c>
      <c r="H21">
        <v>325</v>
      </c>
      <c r="I21" t="s">
        <v>73</v>
      </c>
      <c r="J21" t="s">
        <v>21</v>
      </c>
      <c r="K21" t="s">
        <v>91</v>
      </c>
      <c r="N21" t="s">
        <v>92</v>
      </c>
      <c r="O21">
        <v>32</v>
      </c>
      <c r="P21" t="s">
        <v>67</v>
      </c>
      <c r="Q21" t="s">
        <v>7</v>
      </c>
      <c r="R21" t="s">
        <v>271</v>
      </c>
    </row>
    <row r="22" spans="1:18" x14ac:dyDescent="0.2">
      <c r="A22" t="s">
        <v>583</v>
      </c>
      <c r="B22" t="s">
        <v>584</v>
      </c>
      <c r="C22" t="s">
        <v>68</v>
      </c>
      <c r="D22">
        <v>1.6850000000000001</v>
      </c>
      <c r="E22">
        <v>1</v>
      </c>
      <c r="F22">
        <v>1.6850000000000001</v>
      </c>
      <c r="G22" t="s">
        <v>12</v>
      </c>
      <c r="H22">
        <v>325</v>
      </c>
      <c r="I22" t="s">
        <v>73</v>
      </c>
      <c r="J22" t="s">
        <v>21</v>
      </c>
      <c r="K22" t="s">
        <v>91</v>
      </c>
      <c r="N22" t="s">
        <v>92</v>
      </c>
      <c r="O22">
        <v>32</v>
      </c>
      <c r="P22" t="s">
        <v>67</v>
      </c>
      <c r="Q22" t="s">
        <v>7</v>
      </c>
      <c r="R22" t="s">
        <v>585</v>
      </c>
    </row>
    <row r="23" spans="1:18" x14ac:dyDescent="0.2">
      <c r="A23" t="s">
        <v>116</v>
      </c>
      <c r="B23" t="s">
        <v>316</v>
      </c>
      <c r="C23" t="s">
        <v>68</v>
      </c>
      <c r="D23">
        <v>1.6850000000000001</v>
      </c>
      <c r="E23">
        <v>1</v>
      </c>
      <c r="F23">
        <v>1.6850000000000001</v>
      </c>
      <c r="G23" t="s">
        <v>69</v>
      </c>
      <c r="H23">
        <v>330</v>
      </c>
      <c r="I23" t="s">
        <v>73</v>
      </c>
      <c r="J23" t="s">
        <v>20</v>
      </c>
      <c r="K23" t="s">
        <v>91</v>
      </c>
      <c r="N23" t="s">
        <v>92</v>
      </c>
      <c r="O23">
        <v>32</v>
      </c>
      <c r="P23" t="s">
        <v>67</v>
      </c>
      <c r="Q23" t="s">
        <v>7</v>
      </c>
      <c r="R23" t="s">
        <v>117</v>
      </c>
    </row>
    <row r="24" spans="1:18" x14ac:dyDescent="0.2">
      <c r="A24" t="s">
        <v>391</v>
      </c>
      <c r="B24" t="s">
        <v>392</v>
      </c>
      <c r="C24" t="s">
        <v>68</v>
      </c>
      <c r="D24">
        <v>1.6850000000000001</v>
      </c>
      <c r="E24">
        <v>1</v>
      </c>
      <c r="F24">
        <v>1.6850000000000001</v>
      </c>
      <c r="G24" t="s">
        <v>69</v>
      </c>
      <c r="H24">
        <v>330</v>
      </c>
      <c r="I24" t="s">
        <v>73</v>
      </c>
      <c r="J24" t="s">
        <v>20</v>
      </c>
      <c r="K24" t="s">
        <v>91</v>
      </c>
      <c r="N24" t="s">
        <v>92</v>
      </c>
      <c r="O24">
        <v>32</v>
      </c>
      <c r="P24" t="s">
        <v>67</v>
      </c>
      <c r="Q24" t="s">
        <v>7</v>
      </c>
      <c r="R24" t="s">
        <v>393</v>
      </c>
    </row>
    <row r="25" spans="1:18" x14ac:dyDescent="0.2">
      <c r="A25" t="s">
        <v>272</v>
      </c>
      <c r="B25" t="s">
        <v>273</v>
      </c>
      <c r="C25" t="s">
        <v>68</v>
      </c>
      <c r="D25">
        <v>1.74</v>
      </c>
      <c r="E25">
        <v>1.03</v>
      </c>
      <c r="F25">
        <v>1.7922</v>
      </c>
      <c r="G25" t="s">
        <v>12</v>
      </c>
      <c r="H25">
        <v>345</v>
      </c>
      <c r="I25" t="s">
        <v>73</v>
      </c>
      <c r="J25" t="s">
        <v>21</v>
      </c>
      <c r="K25" t="s">
        <v>91</v>
      </c>
      <c r="N25" t="s">
        <v>92</v>
      </c>
      <c r="O25">
        <v>32</v>
      </c>
      <c r="P25" t="s">
        <v>67</v>
      </c>
      <c r="Q25" t="s">
        <v>7</v>
      </c>
      <c r="R25" t="s">
        <v>275</v>
      </c>
    </row>
    <row r="26" spans="1:18" x14ac:dyDescent="0.2">
      <c r="A26" t="s">
        <v>276</v>
      </c>
      <c r="B26" t="s">
        <v>277</v>
      </c>
      <c r="C26" t="s">
        <v>68</v>
      </c>
      <c r="D26">
        <v>1.74</v>
      </c>
      <c r="E26">
        <v>1.03</v>
      </c>
      <c r="F26">
        <v>1.7922</v>
      </c>
      <c r="G26" t="s">
        <v>12</v>
      </c>
      <c r="H26">
        <v>345</v>
      </c>
      <c r="I26" t="s">
        <v>73</v>
      </c>
      <c r="J26" t="s">
        <v>21</v>
      </c>
      <c r="K26" t="s">
        <v>91</v>
      </c>
      <c r="N26" t="s">
        <v>92</v>
      </c>
      <c r="O26">
        <v>32</v>
      </c>
      <c r="P26" t="s">
        <v>67</v>
      </c>
      <c r="Q26" t="s">
        <v>7</v>
      </c>
      <c r="R26" t="s">
        <v>278</v>
      </c>
    </row>
    <row r="27" spans="1:18" x14ac:dyDescent="0.2">
      <c r="A27" t="s">
        <v>624</v>
      </c>
      <c r="B27" t="s">
        <v>625</v>
      </c>
      <c r="C27" t="s">
        <v>68</v>
      </c>
      <c r="D27">
        <v>1.673</v>
      </c>
      <c r="E27">
        <v>1.03</v>
      </c>
      <c r="F27">
        <v>1.72319</v>
      </c>
      <c r="G27" t="s">
        <v>12</v>
      </c>
      <c r="H27">
        <v>345</v>
      </c>
      <c r="I27" t="s">
        <v>73</v>
      </c>
      <c r="J27" t="s">
        <v>21</v>
      </c>
      <c r="K27" t="s">
        <v>91</v>
      </c>
      <c r="N27" t="s">
        <v>92</v>
      </c>
      <c r="O27">
        <v>32</v>
      </c>
      <c r="P27" t="s">
        <v>67</v>
      </c>
      <c r="Q27" t="s">
        <v>7</v>
      </c>
      <c r="R27" t="s">
        <v>275</v>
      </c>
    </row>
    <row r="28" spans="1:18" x14ac:dyDescent="0.2">
      <c r="A28" t="s">
        <v>279</v>
      </c>
      <c r="B28" t="s">
        <v>280</v>
      </c>
      <c r="C28" t="s">
        <v>68</v>
      </c>
      <c r="D28">
        <v>1.74</v>
      </c>
      <c r="E28">
        <v>1.03</v>
      </c>
      <c r="F28">
        <v>1.7922</v>
      </c>
      <c r="G28" t="s">
        <v>12</v>
      </c>
      <c r="H28">
        <v>350</v>
      </c>
      <c r="I28" t="s">
        <v>73</v>
      </c>
      <c r="J28" t="s">
        <v>21</v>
      </c>
      <c r="K28" t="s">
        <v>91</v>
      </c>
      <c r="N28" t="s">
        <v>92</v>
      </c>
      <c r="O28">
        <v>32</v>
      </c>
      <c r="P28" t="s">
        <v>67</v>
      </c>
      <c r="Q28" t="s">
        <v>7</v>
      </c>
      <c r="R28" t="s">
        <v>281</v>
      </c>
    </row>
    <row r="29" spans="1:18" x14ac:dyDescent="0.2">
      <c r="A29" t="s">
        <v>442</v>
      </c>
      <c r="B29" t="s">
        <v>443</v>
      </c>
      <c r="C29" t="s">
        <v>68</v>
      </c>
      <c r="D29">
        <v>1.74</v>
      </c>
      <c r="E29">
        <v>1.03</v>
      </c>
      <c r="F29">
        <v>1.7922</v>
      </c>
      <c r="G29" t="s">
        <v>12</v>
      </c>
      <c r="H29">
        <v>350</v>
      </c>
      <c r="I29" t="s">
        <v>73</v>
      </c>
      <c r="J29" t="s">
        <v>21</v>
      </c>
      <c r="K29" t="s">
        <v>91</v>
      </c>
      <c r="N29" t="s">
        <v>92</v>
      </c>
      <c r="O29">
        <v>32</v>
      </c>
      <c r="P29" t="s">
        <v>67</v>
      </c>
      <c r="Q29" t="s">
        <v>7</v>
      </c>
      <c r="R29" t="s">
        <v>444</v>
      </c>
    </row>
    <row r="30" spans="1:18" x14ac:dyDescent="0.2">
      <c r="A30" t="s">
        <v>282</v>
      </c>
      <c r="B30" t="s">
        <v>586</v>
      </c>
      <c r="C30" t="s">
        <v>68</v>
      </c>
      <c r="D30">
        <v>1.74</v>
      </c>
      <c r="E30">
        <v>1.03</v>
      </c>
      <c r="F30">
        <v>1.7922</v>
      </c>
      <c r="G30" t="s">
        <v>12</v>
      </c>
      <c r="H30">
        <v>355</v>
      </c>
      <c r="I30" t="s">
        <v>73</v>
      </c>
      <c r="J30" t="s">
        <v>21</v>
      </c>
      <c r="K30" t="s">
        <v>91</v>
      </c>
      <c r="N30" t="s">
        <v>92</v>
      </c>
      <c r="O30">
        <v>32</v>
      </c>
      <c r="P30" t="s">
        <v>67</v>
      </c>
      <c r="Q30" t="s">
        <v>7</v>
      </c>
      <c r="R30" t="s">
        <v>283</v>
      </c>
    </row>
    <row r="31" spans="1:18" x14ac:dyDescent="0.2">
      <c r="A31" t="s">
        <v>342</v>
      </c>
      <c r="B31" t="s">
        <v>343</v>
      </c>
      <c r="C31" t="s">
        <v>68</v>
      </c>
      <c r="D31">
        <v>1.74</v>
      </c>
      <c r="E31">
        <v>1.03</v>
      </c>
      <c r="F31">
        <v>1.7922</v>
      </c>
      <c r="G31" t="s">
        <v>12</v>
      </c>
      <c r="H31">
        <v>360</v>
      </c>
      <c r="I31" t="s">
        <v>73</v>
      </c>
      <c r="J31" t="s">
        <v>21</v>
      </c>
      <c r="K31" t="s">
        <v>91</v>
      </c>
      <c r="N31" t="s">
        <v>92</v>
      </c>
      <c r="O31">
        <v>32</v>
      </c>
      <c r="P31" t="s">
        <v>67</v>
      </c>
      <c r="Q31" t="s">
        <v>7</v>
      </c>
      <c r="R31" t="s">
        <v>344</v>
      </c>
    </row>
    <row r="32" spans="1:18" x14ac:dyDescent="0.2">
      <c r="A32" t="s">
        <v>501</v>
      </c>
      <c r="B32" t="s">
        <v>502</v>
      </c>
      <c r="C32" t="s">
        <v>68</v>
      </c>
      <c r="D32">
        <v>1.84</v>
      </c>
      <c r="E32">
        <v>1.03</v>
      </c>
      <c r="F32">
        <v>1.8952000000000002</v>
      </c>
      <c r="G32" t="s">
        <v>69</v>
      </c>
      <c r="H32">
        <v>375</v>
      </c>
      <c r="I32" t="s">
        <v>73</v>
      </c>
      <c r="J32" t="s">
        <v>20</v>
      </c>
      <c r="K32" t="s">
        <v>91</v>
      </c>
      <c r="N32" t="s">
        <v>92</v>
      </c>
      <c r="O32">
        <v>32</v>
      </c>
      <c r="P32" t="s">
        <v>67</v>
      </c>
      <c r="Q32" t="s">
        <v>7</v>
      </c>
      <c r="R32" t="s">
        <v>503</v>
      </c>
    </row>
    <row r="33" spans="1:18" x14ac:dyDescent="0.2">
      <c r="A33" t="s">
        <v>394</v>
      </c>
      <c r="B33" t="s">
        <v>395</v>
      </c>
      <c r="C33" t="s">
        <v>68</v>
      </c>
      <c r="D33">
        <v>1.84</v>
      </c>
      <c r="E33">
        <v>1.03</v>
      </c>
      <c r="F33">
        <v>1.8952000000000002</v>
      </c>
      <c r="G33" t="s">
        <v>69</v>
      </c>
      <c r="H33">
        <v>375</v>
      </c>
      <c r="I33" t="s">
        <v>73</v>
      </c>
      <c r="J33" t="s">
        <v>20</v>
      </c>
      <c r="K33" t="s">
        <v>91</v>
      </c>
      <c r="N33" t="s">
        <v>92</v>
      </c>
      <c r="O33">
        <v>32</v>
      </c>
      <c r="P33" t="s">
        <v>67</v>
      </c>
      <c r="Q33" t="s">
        <v>7</v>
      </c>
      <c r="R33" t="s">
        <v>396</v>
      </c>
    </row>
    <row r="34" spans="1:18" x14ac:dyDescent="0.2">
      <c r="A34" t="s">
        <v>397</v>
      </c>
      <c r="B34" t="s">
        <v>398</v>
      </c>
      <c r="C34" t="s">
        <v>68</v>
      </c>
      <c r="D34">
        <v>1.84</v>
      </c>
      <c r="E34">
        <v>1.03</v>
      </c>
      <c r="F34">
        <v>1.8952000000000002</v>
      </c>
      <c r="G34" t="s">
        <v>12</v>
      </c>
      <c r="H34">
        <v>380</v>
      </c>
      <c r="I34" t="s">
        <v>73</v>
      </c>
      <c r="J34" t="s">
        <v>21</v>
      </c>
      <c r="K34" t="s">
        <v>91</v>
      </c>
      <c r="N34" t="s">
        <v>92</v>
      </c>
      <c r="O34">
        <v>32</v>
      </c>
      <c r="P34" t="s">
        <v>67</v>
      </c>
      <c r="Q34" t="s">
        <v>7</v>
      </c>
      <c r="R34" t="s">
        <v>399</v>
      </c>
    </row>
    <row r="35" spans="1:18" x14ac:dyDescent="0.2">
      <c r="A35" t="s">
        <v>426</v>
      </c>
      <c r="B35" t="s">
        <v>427</v>
      </c>
      <c r="C35" t="s">
        <v>68</v>
      </c>
      <c r="D35">
        <v>1.84</v>
      </c>
      <c r="E35">
        <v>1.03</v>
      </c>
      <c r="F35">
        <v>1.8952000000000002</v>
      </c>
      <c r="G35" t="s">
        <v>12</v>
      </c>
      <c r="H35">
        <v>385</v>
      </c>
      <c r="I35" t="s">
        <v>73</v>
      </c>
      <c r="J35" t="s">
        <v>21</v>
      </c>
      <c r="K35" t="s">
        <v>91</v>
      </c>
      <c r="N35" t="s">
        <v>92</v>
      </c>
      <c r="O35">
        <v>32</v>
      </c>
      <c r="P35" t="s">
        <v>67</v>
      </c>
      <c r="Q35" t="s">
        <v>7</v>
      </c>
      <c r="R35" t="s">
        <v>428</v>
      </c>
    </row>
    <row r="36" spans="1:18" x14ac:dyDescent="0.2">
      <c r="A36" t="s">
        <v>587</v>
      </c>
      <c r="B36" t="s">
        <v>588</v>
      </c>
      <c r="C36" t="s">
        <v>68</v>
      </c>
      <c r="D36">
        <v>1.84</v>
      </c>
      <c r="E36">
        <v>1.03</v>
      </c>
      <c r="F36">
        <v>1.8952000000000002</v>
      </c>
      <c r="G36" t="s">
        <v>12</v>
      </c>
      <c r="H36">
        <v>385</v>
      </c>
      <c r="I36" t="s">
        <v>73</v>
      </c>
      <c r="J36" t="s">
        <v>21</v>
      </c>
      <c r="K36" t="s">
        <v>91</v>
      </c>
      <c r="N36" t="s">
        <v>92</v>
      </c>
      <c r="O36">
        <v>32</v>
      </c>
      <c r="P36" t="s">
        <v>67</v>
      </c>
      <c r="Q36" t="s">
        <v>7</v>
      </c>
      <c r="R36" t="s">
        <v>589</v>
      </c>
    </row>
    <row r="37" spans="1:18" x14ac:dyDescent="0.2">
      <c r="A37" t="s">
        <v>590</v>
      </c>
      <c r="B37" t="s">
        <v>591</v>
      </c>
      <c r="C37" t="s">
        <v>68</v>
      </c>
      <c r="D37">
        <v>1.84</v>
      </c>
      <c r="E37">
        <v>1.03</v>
      </c>
      <c r="F37">
        <v>1.8952000000000002</v>
      </c>
      <c r="G37" t="s">
        <v>12</v>
      </c>
      <c r="H37">
        <v>390</v>
      </c>
      <c r="I37" t="s">
        <v>73</v>
      </c>
      <c r="J37" t="s">
        <v>21</v>
      </c>
      <c r="K37" t="s">
        <v>91</v>
      </c>
      <c r="N37" t="s">
        <v>92</v>
      </c>
      <c r="O37">
        <v>32</v>
      </c>
      <c r="P37" t="s">
        <v>67</v>
      </c>
      <c r="Q37" t="s">
        <v>7</v>
      </c>
      <c r="R37" t="s">
        <v>592</v>
      </c>
    </row>
    <row r="38" spans="1:18" x14ac:dyDescent="0.2">
      <c r="A38" t="s">
        <v>626</v>
      </c>
      <c r="B38" t="s">
        <v>627</v>
      </c>
      <c r="C38" t="s">
        <v>68</v>
      </c>
      <c r="D38">
        <v>1.6919999999999999</v>
      </c>
      <c r="E38">
        <v>1.1339999999999999</v>
      </c>
      <c r="F38">
        <v>1.9187279999999998</v>
      </c>
      <c r="G38" t="s">
        <v>12</v>
      </c>
      <c r="H38">
        <v>390</v>
      </c>
      <c r="I38" t="s">
        <v>73</v>
      </c>
      <c r="J38" t="s">
        <v>21</v>
      </c>
      <c r="K38" t="s">
        <v>91</v>
      </c>
      <c r="N38" t="s">
        <v>92</v>
      </c>
      <c r="O38">
        <v>32</v>
      </c>
      <c r="P38" t="s">
        <v>67</v>
      </c>
      <c r="Q38" t="s">
        <v>7</v>
      </c>
      <c r="R38" t="s">
        <v>592</v>
      </c>
    </row>
    <row r="39" spans="1:18" x14ac:dyDescent="0.2">
      <c r="A39" t="s">
        <v>628</v>
      </c>
      <c r="B39" t="s">
        <v>629</v>
      </c>
      <c r="C39" t="s">
        <v>68</v>
      </c>
      <c r="D39">
        <v>1.6919999999999999</v>
      </c>
      <c r="E39">
        <v>1.1339999999999999</v>
      </c>
      <c r="F39">
        <v>1.9187279999999998</v>
      </c>
      <c r="G39" t="s">
        <v>12</v>
      </c>
      <c r="H39">
        <v>395</v>
      </c>
      <c r="I39" t="s">
        <v>73</v>
      </c>
      <c r="J39" t="s">
        <v>21</v>
      </c>
      <c r="K39" t="s">
        <v>91</v>
      </c>
      <c r="N39" t="s">
        <v>92</v>
      </c>
      <c r="O39">
        <v>32</v>
      </c>
      <c r="P39" t="s">
        <v>67</v>
      </c>
      <c r="Q39" t="s">
        <v>7</v>
      </c>
      <c r="R39" t="s">
        <v>630</v>
      </c>
    </row>
    <row r="40" spans="1:18" x14ac:dyDescent="0.2">
      <c r="A40" t="s">
        <v>631</v>
      </c>
      <c r="B40" t="s">
        <v>632</v>
      </c>
      <c r="C40" t="s">
        <v>68</v>
      </c>
      <c r="D40">
        <v>1.6919999999999999</v>
      </c>
      <c r="E40">
        <v>1.1339999999999999</v>
      </c>
      <c r="F40">
        <v>1.9187279999999998</v>
      </c>
      <c r="G40" t="s">
        <v>12</v>
      </c>
      <c r="H40">
        <v>400</v>
      </c>
      <c r="I40" t="s">
        <v>73</v>
      </c>
      <c r="J40" t="s">
        <v>21</v>
      </c>
      <c r="K40" t="s">
        <v>91</v>
      </c>
      <c r="N40" t="s">
        <v>92</v>
      </c>
      <c r="O40">
        <v>32</v>
      </c>
      <c r="P40" t="s">
        <v>67</v>
      </c>
      <c r="Q40" t="s">
        <v>7</v>
      </c>
      <c r="R40" t="s">
        <v>633</v>
      </c>
    </row>
    <row r="41" spans="1:18" x14ac:dyDescent="0.2">
      <c r="A41" t="s">
        <v>634</v>
      </c>
      <c r="B41" t="s">
        <v>635</v>
      </c>
      <c r="C41" t="s">
        <v>68</v>
      </c>
      <c r="D41">
        <v>1.6919999999999999</v>
      </c>
      <c r="E41">
        <v>1.1339999999999999</v>
      </c>
      <c r="F41">
        <v>1.9187279999999998</v>
      </c>
      <c r="G41" t="s">
        <v>12</v>
      </c>
      <c r="H41">
        <v>405</v>
      </c>
      <c r="I41" t="s">
        <v>73</v>
      </c>
      <c r="J41" t="s">
        <v>21</v>
      </c>
      <c r="K41" t="s">
        <v>91</v>
      </c>
      <c r="N41" t="s">
        <v>92</v>
      </c>
      <c r="O41">
        <v>32</v>
      </c>
      <c r="P41" t="s">
        <v>67</v>
      </c>
      <c r="Q41" t="s">
        <v>7</v>
      </c>
      <c r="R41" t="s">
        <v>636</v>
      </c>
    </row>
    <row r="42" spans="1:18" x14ac:dyDescent="0.2">
      <c r="A42" t="s">
        <v>637</v>
      </c>
      <c r="B42" t="s">
        <v>638</v>
      </c>
      <c r="C42" t="s">
        <v>68</v>
      </c>
      <c r="D42">
        <v>1.6919999999999999</v>
      </c>
      <c r="E42">
        <v>1.1339999999999999</v>
      </c>
      <c r="F42">
        <v>1.9187279999999998</v>
      </c>
      <c r="G42" t="s">
        <v>12</v>
      </c>
      <c r="H42">
        <v>410</v>
      </c>
      <c r="I42" t="s">
        <v>73</v>
      </c>
      <c r="J42" t="s">
        <v>21</v>
      </c>
      <c r="K42" t="s">
        <v>91</v>
      </c>
      <c r="N42" t="s">
        <v>92</v>
      </c>
      <c r="O42">
        <v>32</v>
      </c>
      <c r="P42" t="s">
        <v>67</v>
      </c>
      <c r="Q42" t="s">
        <v>7</v>
      </c>
      <c r="R42" t="s">
        <v>639</v>
      </c>
    </row>
    <row r="44" spans="1:18" x14ac:dyDescent="0.2">
      <c r="A44" t="s">
        <v>284</v>
      </c>
      <c r="B44" t="s">
        <v>285</v>
      </c>
      <c r="C44" t="s">
        <v>68</v>
      </c>
      <c r="D44">
        <v>1.675</v>
      </c>
      <c r="E44">
        <v>0.997</v>
      </c>
      <c r="F44">
        <v>1.67</v>
      </c>
      <c r="G44" t="s">
        <v>12</v>
      </c>
      <c r="H44">
        <v>300</v>
      </c>
      <c r="I44" t="s">
        <v>286</v>
      </c>
      <c r="J44" t="s">
        <v>21</v>
      </c>
      <c r="K44" t="s">
        <v>23</v>
      </c>
      <c r="N44" t="s">
        <v>27</v>
      </c>
      <c r="O44">
        <v>38</v>
      </c>
      <c r="P44" t="s">
        <v>67</v>
      </c>
      <c r="Q44" t="s">
        <v>7</v>
      </c>
      <c r="R44" t="s">
        <v>287</v>
      </c>
    </row>
    <row r="45" spans="1:18" x14ac:dyDescent="0.2">
      <c r="A45" t="s">
        <v>288</v>
      </c>
      <c r="B45" t="s">
        <v>289</v>
      </c>
      <c r="C45" t="s">
        <v>68</v>
      </c>
      <c r="D45">
        <v>1.675</v>
      </c>
      <c r="E45">
        <v>0.997</v>
      </c>
      <c r="F45">
        <v>1.67</v>
      </c>
      <c r="G45" t="s">
        <v>12</v>
      </c>
      <c r="H45">
        <v>295</v>
      </c>
      <c r="I45" t="s">
        <v>286</v>
      </c>
      <c r="J45" t="s">
        <v>21</v>
      </c>
      <c r="K45" t="s">
        <v>23</v>
      </c>
      <c r="N45" t="s">
        <v>27</v>
      </c>
      <c r="O45">
        <v>38</v>
      </c>
      <c r="P45" t="s">
        <v>67</v>
      </c>
      <c r="Q45" t="s">
        <v>7</v>
      </c>
      <c r="R45" t="s">
        <v>290</v>
      </c>
    </row>
    <row r="46" spans="1:18" x14ac:dyDescent="0.2">
      <c r="A46" t="s">
        <v>291</v>
      </c>
      <c r="B46" t="s">
        <v>292</v>
      </c>
      <c r="C46" t="s">
        <v>68</v>
      </c>
      <c r="D46">
        <v>1.675</v>
      </c>
      <c r="E46">
        <v>0.997</v>
      </c>
      <c r="F46">
        <v>1.675</v>
      </c>
      <c r="G46" t="s">
        <v>12</v>
      </c>
      <c r="H46">
        <v>315</v>
      </c>
      <c r="I46" t="s">
        <v>286</v>
      </c>
      <c r="J46" t="s">
        <v>21</v>
      </c>
      <c r="K46" t="s">
        <v>91</v>
      </c>
      <c r="N46" t="s">
        <v>92</v>
      </c>
      <c r="O46">
        <v>38</v>
      </c>
      <c r="P46" t="s">
        <v>67</v>
      </c>
      <c r="Q46" t="s">
        <v>7</v>
      </c>
      <c r="R46" t="s">
        <v>293</v>
      </c>
    </row>
    <row r="47" spans="1:18" x14ac:dyDescent="0.2">
      <c r="A47" t="s">
        <v>294</v>
      </c>
      <c r="B47" t="s">
        <v>295</v>
      </c>
      <c r="C47" t="s">
        <v>68</v>
      </c>
      <c r="D47">
        <v>1.675</v>
      </c>
      <c r="E47">
        <v>0.997</v>
      </c>
      <c r="F47">
        <v>1.675</v>
      </c>
      <c r="G47" t="s">
        <v>12</v>
      </c>
      <c r="H47">
        <v>325</v>
      </c>
      <c r="I47" t="s">
        <v>286</v>
      </c>
      <c r="J47" t="s">
        <v>21</v>
      </c>
      <c r="K47" t="s">
        <v>91</v>
      </c>
      <c r="N47" t="s">
        <v>92</v>
      </c>
      <c r="O47">
        <v>38</v>
      </c>
      <c r="P47" t="s">
        <v>67</v>
      </c>
      <c r="Q47" t="s">
        <v>7</v>
      </c>
      <c r="R47" t="s">
        <v>296</v>
      </c>
    </row>
    <row r="49" spans="1:18" x14ac:dyDescent="0.2">
      <c r="A49" t="s">
        <v>297</v>
      </c>
      <c r="B49" t="s">
        <v>297</v>
      </c>
      <c r="C49" t="s">
        <v>68</v>
      </c>
      <c r="D49">
        <v>1.6719999999999999</v>
      </c>
      <c r="E49">
        <v>0.99099999999999999</v>
      </c>
      <c r="F49">
        <v>1.656952</v>
      </c>
      <c r="G49" t="s">
        <v>12</v>
      </c>
      <c r="H49">
        <v>320</v>
      </c>
      <c r="I49" t="s">
        <v>298</v>
      </c>
      <c r="J49" t="s">
        <v>21</v>
      </c>
      <c r="K49" t="s">
        <v>91</v>
      </c>
      <c r="N49" t="s">
        <v>299</v>
      </c>
      <c r="O49">
        <v>40</v>
      </c>
      <c r="P49" t="s">
        <v>67</v>
      </c>
      <c r="Q49" t="s">
        <v>7</v>
      </c>
      <c r="R49" t="s">
        <v>300</v>
      </c>
    </row>
    <row r="50" spans="1:18" x14ac:dyDescent="0.2">
      <c r="A50" t="s">
        <v>326</v>
      </c>
      <c r="B50" t="s">
        <v>327</v>
      </c>
      <c r="C50" t="s">
        <v>68</v>
      </c>
      <c r="D50">
        <v>1.7549999999999999</v>
      </c>
      <c r="E50">
        <v>1.03</v>
      </c>
      <c r="F50">
        <v>1.80765</v>
      </c>
      <c r="G50" t="s">
        <v>12</v>
      </c>
      <c r="H50">
        <v>360</v>
      </c>
      <c r="I50" t="s">
        <v>298</v>
      </c>
      <c r="J50" t="s">
        <v>21</v>
      </c>
      <c r="K50" t="s">
        <v>91</v>
      </c>
      <c r="N50" t="s">
        <v>299</v>
      </c>
      <c r="O50">
        <v>30</v>
      </c>
      <c r="P50" t="s">
        <v>67</v>
      </c>
      <c r="Q50" t="s">
        <v>7</v>
      </c>
      <c r="R50" t="s">
        <v>328</v>
      </c>
    </row>
    <row r="51" spans="1:18" x14ac:dyDescent="0.2">
      <c r="A51" t="s">
        <v>434</v>
      </c>
      <c r="B51" t="s">
        <v>435</v>
      </c>
      <c r="C51" t="s">
        <v>68</v>
      </c>
      <c r="D51">
        <v>1.7909999999999999</v>
      </c>
      <c r="E51">
        <v>1.052</v>
      </c>
      <c r="F51">
        <v>1.8841319999999999</v>
      </c>
      <c r="G51" t="s">
        <v>12</v>
      </c>
      <c r="H51">
        <v>365</v>
      </c>
      <c r="I51" t="s">
        <v>298</v>
      </c>
      <c r="J51" t="s">
        <v>21</v>
      </c>
      <c r="K51" t="s">
        <v>91</v>
      </c>
      <c r="N51" t="s">
        <v>299</v>
      </c>
      <c r="O51">
        <v>30</v>
      </c>
      <c r="P51" t="s">
        <v>67</v>
      </c>
      <c r="Q51" t="s">
        <v>7</v>
      </c>
      <c r="R51" t="s">
        <v>593</v>
      </c>
    </row>
    <row r="52" spans="1:18" x14ac:dyDescent="0.2">
      <c r="A52" t="s">
        <v>345</v>
      </c>
      <c r="B52" t="s">
        <v>346</v>
      </c>
      <c r="C52" t="s">
        <v>68</v>
      </c>
      <c r="D52">
        <v>1.7549999999999999</v>
      </c>
      <c r="E52">
        <v>1.038</v>
      </c>
      <c r="F52">
        <v>1.82169</v>
      </c>
      <c r="G52" t="s">
        <v>12</v>
      </c>
      <c r="H52">
        <v>370</v>
      </c>
      <c r="I52" t="s">
        <v>298</v>
      </c>
      <c r="J52" t="s">
        <v>21</v>
      </c>
      <c r="K52" t="s">
        <v>91</v>
      </c>
      <c r="N52" t="s">
        <v>299</v>
      </c>
      <c r="O52">
        <v>35</v>
      </c>
      <c r="P52" t="s">
        <v>67</v>
      </c>
      <c r="Q52" t="s">
        <v>7</v>
      </c>
      <c r="R52" t="s">
        <v>347</v>
      </c>
    </row>
    <row r="53" spans="1:18" x14ac:dyDescent="0.2">
      <c r="A53" t="s">
        <v>594</v>
      </c>
      <c r="B53" t="s">
        <v>595</v>
      </c>
      <c r="C53" t="s">
        <v>68</v>
      </c>
      <c r="D53">
        <v>1.7549999999999999</v>
      </c>
      <c r="E53">
        <v>1.038</v>
      </c>
      <c r="F53">
        <v>1.82169</v>
      </c>
      <c r="G53" t="s">
        <v>12</v>
      </c>
      <c r="H53">
        <v>370</v>
      </c>
      <c r="I53" t="s">
        <v>298</v>
      </c>
      <c r="J53" t="s">
        <v>21</v>
      </c>
      <c r="K53" t="s">
        <v>91</v>
      </c>
      <c r="N53" t="s">
        <v>299</v>
      </c>
      <c r="O53">
        <v>35</v>
      </c>
      <c r="P53" t="s">
        <v>67</v>
      </c>
      <c r="Q53" t="s">
        <v>7</v>
      </c>
      <c r="R53" t="s">
        <v>347</v>
      </c>
    </row>
    <row r="54" spans="1:18" x14ac:dyDescent="0.2">
      <c r="A54" t="s">
        <v>596</v>
      </c>
      <c r="B54" t="s">
        <v>597</v>
      </c>
      <c r="C54" t="s">
        <v>68</v>
      </c>
      <c r="D54">
        <v>1.7549999999999999</v>
      </c>
      <c r="E54">
        <v>1.038</v>
      </c>
      <c r="F54">
        <v>1.82169</v>
      </c>
      <c r="G54" t="s">
        <v>12</v>
      </c>
      <c r="H54">
        <v>375</v>
      </c>
      <c r="I54" t="s">
        <v>298</v>
      </c>
      <c r="J54" t="s">
        <v>21</v>
      </c>
      <c r="K54" t="s">
        <v>91</v>
      </c>
      <c r="N54" t="s">
        <v>299</v>
      </c>
      <c r="O54">
        <v>35</v>
      </c>
      <c r="P54" t="s">
        <v>67</v>
      </c>
      <c r="Q54" t="s">
        <v>7</v>
      </c>
      <c r="R54" t="s">
        <v>598</v>
      </c>
    </row>
    <row r="55" spans="1:18" x14ac:dyDescent="0.2">
      <c r="A55" t="s">
        <v>599</v>
      </c>
      <c r="B55" t="s">
        <v>600</v>
      </c>
      <c r="C55" t="s">
        <v>68</v>
      </c>
      <c r="D55">
        <v>1.7549999999999999</v>
      </c>
      <c r="E55">
        <v>1.038</v>
      </c>
      <c r="F55">
        <v>1.82169</v>
      </c>
      <c r="G55" t="s">
        <v>12</v>
      </c>
      <c r="H55">
        <v>375</v>
      </c>
      <c r="I55" t="s">
        <v>298</v>
      </c>
      <c r="J55" t="s">
        <v>21</v>
      </c>
      <c r="K55" t="s">
        <v>91</v>
      </c>
      <c r="N55" t="s">
        <v>299</v>
      </c>
      <c r="O55">
        <v>35</v>
      </c>
      <c r="P55" t="s">
        <v>67</v>
      </c>
      <c r="Q55" t="s">
        <v>7</v>
      </c>
      <c r="R55" t="s">
        <v>598</v>
      </c>
    </row>
    <row r="56" spans="1:18" x14ac:dyDescent="0.2">
      <c r="A56" t="s">
        <v>601</v>
      </c>
      <c r="B56" t="s">
        <v>602</v>
      </c>
      <c r="C56" t="s">
        <v>68</v>
      </c>
      <c r="D56">
        <v>1.7549999999999999</v>
      </c>
      <c r="E56">
        <v>1.038</v>
      </c>
      <c r="F56">
        <v>1.82169</v>
      </c>
      <c r="G56" t="s">
        <v>12</v>
      </c>
      <c r="H56">
        <v>380</v>
      </c>
      <c r="I56" t="s">
        <v>298</v>
      </c>
      <c r="J56" t="s">
        <v>21</v>
      </c>
      <c r="K56" t="s">
        <v>91</v>
      </c>
      <c r="N56" t="s">
        <v>299</v>
      </c>
      <c r="O56">
        <v>35</v>
      </c>
      <c r="P56" t="s">
        <v>67</v>
      </c>
      <c r="Q56" t="s">
        <v>7</v>
      </c>
      <c r="R56" t="s">
        <v>603</v>
      </c>
    </row>
    <row r="57" spans="1:18" x14ac:dyDescent="0.2">
      <c r="A57" t="s">
        <v>640</v>
      </c>
      <c r="B57" t="s">
        <v>640</v>
      </c>
      <c r="C57" t="s">
        <v>68</v>
      </c>
      <c r="D57">
        <v>1.722</v>
      </c>
      <c r="E57">
        <v>1.1339999999999999</v>
      </c>
      <c r="F57">
        <v>1.9527479999999997</v>
      </c>
      <c r="G57" t="s">
        <v>12</v>
      </c>
      <c r="H57">
        <v>395</v>
      </c>
      <c r="I57" t="s">
        <v>298</v>
      </c>
      <c r="J57" t="s">
        <v>21</v>
      </c>
      <c r="K57" t="s">
        <v>91</v>
      </c>
      <c r="N57" t="s">
        <v>299</v>
      </c>
      <c r="O57">
        <v>30</v>
      </c>
      <c r="P57" t="s">
        <v>67</v>
      </c>
      <c r="Q57" t="s">
        <v>7</v>
      </c>
      <c r="R57" t="s">
        <v>641</v>
      </c>
    </row>
    <row r="58" spans="1:18" x14ac:dyDescent="0.2">
      <c r="A58" t="s">
        <v>642</v>
      </c>
      <c r="B58" t="s">
        <v>642</v>
      </c>
      <c r="C58" t="s">
        <v>68</v>
      </c>
      <c r="D58">
        <v>1.722</v>
      </c>
      <c r="E58">
        <v>1.1339999999999999</v>
      </c>
      <c r="F58">
        <v>1.9527479999999997</v>
      </c>
      <c r="G58" t="s">
        <v>12</v>
      </c>
      <c r="H58">
        <v>400</v>
      </c>
      <c r="I58" t="s">
        <v>298</v>
      </c>
      <c r="J58" t="s">
        <v>21</v>
      </c>
      <c r="K58" t="s">
        <v>91</v>
      </c>
      <c r="N58" t="s">
        <v>299</v>
      </c>
      <c r="O58">
        <v>30</v>
      </c>
      <c r="P58" t="s">
        <v>67</v>
      </c>
      <c r="Q58" t="s">
        <v>7</v>
      </c>
      <c r="R58" t="s">
        <v>643</v>
      </c>
    </row>
    <row r="59" spans="1:18" x14ac:dyDescent="0.2">
      <c r="A59" t="s">
        <v>644</v>
      </c>
      <c r="B59" t="s">
        <v>644</v>
      </c>
      <c r="C59" t="s">
        <v>68</v>
      </c>
      <c r="D59">
        <v>1.722</v>
      </c>
      <c r="E59">
        <v>1.1339999999999999</v>
      </c>
      <c r="F59">
        <v>1.9527479999999997</v>
      </c>
      <c r="G59" t="s">
        <v>12</v>
      </c>
      <c r="H59">
        <v>405</v>
      </c>
      <c r="I59" t="s">
        <v>298</v>
      </c>
      <c r="J59" t="s">
        <v>21</v>
      </c>
      <c r="K59" t="s">
        <v>91</v>
      </c>
      <c r="N59" t="s">
        <v>299</v>
      </c>
      <c r="O59">
        <v>30</v>
      </c>
      <c r="P59" t="s">
        <v>67</v>
      </c>
      <c r="Q59" t="s">
        <v>7</v>
      </c>
      <c r="R59" t="s">
        <v>645</v>
      </c>
    </row>
    <row r="60" spans="1:18" x14ac:dyDescent="0.2">
      <c r="A60" t="s">
        <v>646</v>
      </c>
      <c r="B60" t="s">
        <v>646</v>
      </c>
      <c r="C60" t="s">
        <v>68</v>
      </c>
      <c r="D60">
        <v>1.722</v>
      </c>
      <c r="E60">
        <v>1.1339999999999999</v>
      </c>
      <c r="F60">
        <v>1.9527479999999997</v>
      </c>
      <c r="G60" t="s">
        <v>12</v>
      </c>
      <c r="H60">
        <v>410</v>
      </c>
      <c r="I60" t="s">
        <v>298</v>
      </c>
      <c r="J60" t="s">
        <v>21</v>
      </c>
      <c r="K60" t="s">
        <v>91</v>
      </c>
      <c r="N60" t="s">
        <v>299</v>
      </c>
      <c r="O60">
        <v>30</v>
      </c>
      <c r="P60" t="s">
        <v>67</v>
      </c>
      <c r="Q60" t="s">
        <v>7</v>
      </c>
      <c r="R60" t="s">
        <v>647</v>
      </c>
    </row>
    <row r="61" spans="1:18" x14ac:dyDescent="0.2">
      <c r="A61" t="s">
        <v>648</v>
      </c>
      <c r="B61" t="s">
        <v>648</v>
      </c>
      <c r="C61" t="s">
        <v>68</v>
      </c>
      <c r="D61">
        <v>1.722</v>
      </c>
      <c r="E61">
        <v>1.1339999999999999</v>
      </c>
      <c r="F61">
        <v>1.9527479999999997</v>
      </c>
      <c r="G61" t="s">
        <v>12</v>
      </c>
      <c r="H61">
        <v>415</v>
      </c>
      <c r="I61" t="s">
        <v>298</v>
      </c>
      <c r="J61" t="s">
        <v>21</v>
      </c>
      <c r="K61" t="s">
        <v>91</v>
      </c>
      <c r="N61" t="s">
        <v>299</v>
      </c>
      <c r="O61">
        <v>30</v>
      </c>
      <c r="P61" t="s">
        <v>67</v>
      </c>
      <c r="Q61" t="s">
        <v>7</v>
      </c>
      <c r="R61" t="s">
        <v>649</v>
      </c>
    </row>
    <row r="63" spans="1:18" x14ac:dyDescent="0.2">
      <c r="A63" t="s">
        <v>319</v>
      </c>
      <c r="B63" t="s">
        <v>320</v>
      </c>
      <c r="C63" t="s">
        <v>68</v>
      </c>
      <c r="D63">
        <v>1.665</v>
      </c>
      <c r="E63">
        <v>1.002</v>
      </c>
      <c r="F63">
        <v>1.6683300000000001</v>
      </c>
      <c r="H63">
        <v>330</v>
      </c>
      <c r="I63" t="s">
        <v>321</v>
      </c>
      <c r="K63" t="s">
        <v>91</v>
      </c>
      <c r="N63" t="s">
        <v>299</v>
      </c>
      <c r="O63">
        <v>40</v>
      </c>
      <c r="P63" t="s">
        <v>67</v>
      </c>
      <c r="Q63" t="s">
        <v>7</v>
      </c>
      <c r="R63" t="s">
        <v>322</v>
      </c>
    </row>
    <row r="64" spans="1:18" x14ac:dyDescent="0.2">
      <c r="A64" t="s">
        <v>604</v>
      </c>
      <c r="B64" t="s">
        <v>605</v>
      </c>
      <c r="C64" t="s">
        <v>68</v>
      </c>
      <c r="D64">
        <v>1.73</v>
      </c>
      <c r="E64">
        <v>1.048</v>
      </c>
      <c r="F64">
        <v>1.81304</v>
      </c>
      <c r="H64">
        <v>350</v>
      </c>
      <c r="I64" t="s">
        <v>321</v>
      </c>
      <c r="K64" t="s">
        <v>91</v>
      </c>
      <c r="N64" t="s">
        <v>299</v>
      </c>
      <c r="O64">
        <v>40</v>
      </c>
      <c r="P64" t="s">
        <v>67</v>
      </c>
      <c r="Q64" t="s">
        <v>7</v>
      </c>
      <c r="R64" t="s">
        <v>606</v>
      </c>
    </row>
    <row r="66" spans="1:18" x14ac:dyDescent="0.2">
      <c r="A66" t="s">
        <v>650</v>
      </c>
      <c r="B66" t="s">
        <v>651</v>
      </c>
      <c r="C66" t="s">
        <v>68</v>
      </c>
      <c r="D66">
        <v>1.6635</v>
      </c>
      <c r="E66">
        <v>1.0004999999999999</v>
      </c>
      <c r="F66">
        <v>1.6643317499999999</v>
      </c>
      <c r="H66">
        <v>330</v>
      </c>
      <c r="I66" t="s">
        <v>652</v>
      </c>
      <c r="K66" t="s">
        <v>91</v>
      </c>
      <c r="N66" t="s">
        <v>299</v>
      </c>
      <c r="O66">
        <v>35</v>
      </c>
      <c r="P66" t="s">
        <v>67</v>
      </c>
      <c r="Q66" t="s">
        <v>7</v>
      </c>
      <c r="R66" t="s">
        <v>653</v>
      </c>
    </row>
    <row r="68" spans="1:18" x14ac:dyDescent="0.2">
      <c r="A68" t="s">
        <v>654</v>
      </c>
      <c r="B68" t="s">
        <v>655</v>
      </c>
      <c r="C68" t="s">
        <v>68</v>
      </c>
      <c r="D68">
        <v>1.835</v>
      </c>
      <c r="E68">
        <v>1.042</v>
      </c>
      <c r="F68">
        <v>1.9120699999999999</v>
      </c>
      <c r="H68">
        <v>390</v>
      </c>
      <c r="I68" t="s">
        <v>656</v>
      </c>
      <c r="K68" t="s">
        <v>91</v>
      </c>
      <c r="N68" t="s">
        <v>299</v>
      </c>
      <c r="O68">
        <v>35</v>
      </c>
      <c r="P68" t="s">
        <v>67</v>
      </c>
      <c r="Q68" t="s">
        <v>7</v>
      </c>
      <c r="R68" t="s">
        <v>657</v>
      </c>
    </row>
    <row r="70" spans="1:18" x14ac:dyDescent="0.2">
      <c r="A70" t="s">
        <v>400</v>
      </c>
      <c r="B70" t="s">
        <v>401</v>
      </c>
      <c r="C70" t="s">
        <v>68</v>
      </c>
      <c r="D70">
        <v>1.7729999999999999</v>
      </c>
      <c r="E70">
        <v>1.046</v>
      </c>
      <c r="F70">
        <v>1.8545579999999999</v>
      </c>
      <c r="G70" t="s">
        <v>12</v>
      </c>
      <c r="H70">
        <v>365</v>
      </c>
      <c r="I70" t="s">
        <v>402</v>
      </c>
      <c r="J70" t="s">
        <v>12</v>
      </c>
      <c r="K70" t="s">
        <v>91</v>
      </c>
      <c r="N70" t="s">
        <v>299</v>
      </c>
      <c r="O70">
        <v>30</v>
      </c>
      <c r="P70" t="s">
        <v>67</v>
      </c>
      <c r="Q70" t="s">
        <v>7</v>
      </c>
      <c r="R70" t="s">
        <v>403</v>
      </c>
    </row>
    <row r="71" spans="1:18" x14ac:dyDescent="0.2">
      <c r="A71" t="s">
        <v>658</v>
      </c>
      <c r="B71" t="s">
        <v>659</v>
      </c>
      <c r="C71" t="s">
        <v>68</v>
      </c>
      <c r="D71">
        <v>2.0659999999999998</v>
      </c>
      <c r="E71">
        <v>0.998</v>
      </c>
      <c r="F71">
        <v>2.061868</v>
      </c>
      <c r="H71">
        <v>410</v>
      </c>
      <c r="I71" t="s">
        <v>431</v>
      </c>
      <c r="K71" t="s">
        <v>91</v>
      </c>
      <c r="N71" t="s">
        <v>432</v>
      </c>
      <c r="O71">
        <v>35</v>
      </c>
      <c r="P71" t="s">
        <v>433</v>
      </c>
      <c r="Q71" t="s">
        <v>7</v>
      </c>
      <c r="R71" t="s">
        <v>660</v>
      </c>
    </row>
    <row r="72" spans="1:18" x14ac:dyDescent="0.2">
      <c r="A72" t="s">
        <v>429</v>
      </c>
      <c r="B72" t="s">
        <v>430</v>
      </c>
      <c r="C72" t="s">
        <v>68</v>
      </c>
      <c r="D72">
        <v>2.0659999999999998</v>
      </c>
      <c r="E72">
        <v>0.998</v>
      </c>
      <c r="F72">
        <v>2.061868</v>
      </c>
      <c r="H72">
        <v>420</v>
      </c>
      <c r="I72" t="s">
        <v>431</v>
      </c>
      <c r="K72" t="s">
        <v>91</v>
      </c>
      <c r="N72" t="s">
        <v>432</v>
      </c>
      <c r="O72">
        <v>35</v>
      </c>
      <c r="P72" t="s">
        <v>433</v>
      </c>
      <c r="Q72" t="s">
        <v>7</v>
      </c>
      <c r="R72" t="s">
        <v>607</v>
      </c>
    </row>
    <row r="74" spans="1:18" x14ac:dyDescent="0.2">
      <c r="A74" t="s">
        <v>301</v>
      </c>
      <c r="B74" t="s">
        <v>302</v>
      </c>
      <c r="C74" t="s">
        <v>68</v>
      </c>
      <c r="D74">
        <v>1.675</v>
      </c>
      <c r="E74">
        <v>0.99199999999999999</v>
      </c>
      <c r="F74">
        <v>1.6616</v>
      </c>
      <c r="G74" t="s">
        <v>12</v>
      </c>
      <c r="H74">
        <v>320</v>
      </c>
      <c r="I74" t="s">
        <v>303</v>
      </c>
      <c r="J74" t="s">
        <v>21</v>
      </c>
      <c r="K74" t="s">
        <v>91</v>
      </c>
      <c r="N74" t="s">
        <v>299</v>
      </c>
      <c r="O74">
        <v>40</v>
      </c>
      <c r="P74" t="s">
        <v>67</v>
      </c>
      <c r="Q74" t="s">
        <v>7</v>
      </c>
      <c r="R74" t="s">
        <v>304</v>
      </c>
    </row>
    <row r="75" spans="1:18" x14ac:dyDescent="0.2">
      <c r="A75" t="s">
        <v>404</v>
      </c>
      <c r="B75" t="s">
        <v>405</v>
      </c>
      <c r="C75" t="s">
        <v>68</v>
      </c>
      <c r="D75">
        <v>1.6839999999999999</v>
      </c>
      <c r="E75">
        <v>1.002</v>
      </c>
      <c r="F75">
        <v>1.687368</v>
      </c>
      <c r="G75" t="s">
        <v>12</v>
      </c>
      <c r="H75">
        <v>335</v>
      </c>
      <c r="I75" t="s">
        <v>303</v>
      </c>
      <c r="J75" t="s">
        <v>21</v>
      </c>
      <c r="K75" t="s">
        <v>91</v>
      </c>
      <c r="N75" t="s">
        <v>299</v>
      </c>
      <c r="O75">
        <v>35</v>
      </c>
      <c r="P75" t="s">
        <v>67</v>
      </c>
      <c r="Q75" t="s">
        <v>7</v>
      </c>
      <c r="R75" t="s">
        <v>406</v>
      </c>
    </row>
    <row r="76" spans="1:18" x14ac:dyDescent="0.2">
      <c r="A76" t="s">
        <v>445</v>
      </c>
      <c r="B76" t="s">
        <v>446</v>
      </c>
      <c r="C76" t="s">
        <v>68</v>
      </c>
      <c r="D76">
        <v>1.6839999999999999</v>
      </c>
      <c r="E76">
        <v>1.002</v>
      </c>
      <c r="F76">
        <v>1.687368</v>
      </c>
      <c r="G76" t="s">
        <v>12</v>
      </c>
      <c r="H76">
        <v>340</v>
      </c>
      <c r="I76" t="s">
        <v>303</v>
      </c>
      <c r="J76" t="s">
        <v>21</v>
      </c>
      <c r="K76" t="s">
        <v>91</v>
      </c>
      <c r="N76" t="s">
        <v>299</v>
      </c>
      <c r="O76">
        <v>35</v>
      </c>
      <c r="P76" t="s">
        <v>67</v>
      </c>
      <c r="Q76" t="s">
        <v>7</v>
      </c>
      <c r="R76" t="s">
        <v>447</v>
      </c>
    </row>
    <row r="77" spans="1:18" x14ac:dyDescent="0.2">
      <c r="A77" t="s">
        <v>448</v>
      </c>
      <c r="B77" t="s">
        <v>449</v>
      </c>
      <c r="C77" t="s">
        <v>68</v>
      </c>
      <c r="D77">
        <v>1.7549999999999999</v>
      </c>
      <c r="E77">
        <v>1.038</v>
      </c>
      <c r="F77">
        <v>1.82169</v>
      </c>
      <c r="G77" t="s">
        <v>12</v>
      </c>
      <c r="H77">
        <v>370</v>
      </c>
      <c r="I77" t="s">
        <v>303</v>
      </c>
      <c r="J77" t="s">
        <v>21</v>
      </c>
      <c r="K77" t="s">
        <v>91</v>
      </c>
      <c r="N77" t="s">
        <v>299</v>
      </c>
      <c r="O77">
        <v>35</v>
      </c>
      <c r="P77" t="s">
        <v>67</v>
      </c>
      <c r="Q77" t="s">
        <v>7</v>
      </c>
      <c r="R77" t="s">
        <v>450</v>
      </c>
    </row>
    <row r="78" spans="1:18" x14ac:dyDescent="0.2">
      <c r="A78" t="s">
        <v>661</v>
      </c>
      <c r="B78" t="s">
        <v>662</v>
      </c>
      <c r="C78" t="s">
        <v>68</v>
      </c>
      <c r="D78">
        <v>1.7549999999999999</v>
      </c>
      <c r="E78">
        <v>1.038</v>
      </c>
      <c r="F78">
        <v>1.82169</v>
      </c>
      <c r="G78" t="s">
        <v>12</v>
      </c>
      <c r="H78">
        <v>375</v>
      </c>
      <c r="I78" t="s">
        <v>303</v>
      </c>
      <c r="J78" t="s">
        <v>21</v>
      </c>
      <c r="K78" t="s">
        <v>91</v>
      </c>
      <c r="N78" t="s">
        <v>299</v>
      </c>
      <c r="O78">
        <v>35</v>
      </c>
      <c r="P78" t="s">
        <v>67</v>
      </c>
      <c r="Q78" t="s">
        <v>7</v>
      </c>
      <c r="R78" t="s">
        <v>663</v>
      </c>
    </row>
    <row r="79" spans="1:18" x14ac:dyDescent="0.2">
      <c r="A79" t="s">
        <v>608</v>
      </c>
      <c r="B79" t="s">
        <v>609</v>
      </c>
      <c r="C79" t="s">
        <v>68</v>
      </c>
      <c r="D79">
        <v>1.7549999999999999</v>
      </c>
      <c r="E79">
        <v>1.038</v>
      </c>
      <c r="F79">
        <v>1.82169</v>
      </c>
      <c r="G79" t="s">
        <v>12</v>
      </c>
      <c r="H79">
        <v>385</v>
      </c>
      <c r="I79" t="s">
        <v>303</v>
      </c>
      <c r="J79" t="s">
        <v>21</v>
      </c>
      <c r="K79" t="s">
        <v>91</v>
      </c>
      <c r="N79" t="s">
        <v>299</v>
      </c>
      <c r="O79">
        <v>35</v>
      </c>
      <c r="P79" t="s">
        <v>67</v>
      </c>
      <c r="Q79" t="s">
        <v>7</v>
      </c>
      <c r="R79" t="s">
        <v>610</v>
      </c>
    </row>
    <row r="81" spans="1:18" x14ac:dyDescent="0.2">
      <c r="A81" t="s">
        <v>664</v>
      </c>
      <c r="B81" t="s">
        <v>665</v>
      </c>
      <c r="C81" t="s">
        <v>68</v>
      </c>
      <c r="D81">
        <v>1.7549999999999999</v>
      </c>
      <c r="E81">
        <v>1.038</v>
      </c>
      <c r="F81">
        <v>1.82169</v>
      </c>
      <c r="G81" t="s">
        <v>12</v>
      </c>
      <c r="H81">
        <v>375</v>
      </c>
      <c r="I81" t="s">
        <v>303</v>
      </c>
      <c r="J81" t="s">
        <v>21</v>
      </c>
      <c r="K81" t="s">
        <v>91</v>
      </c>
      <c r="N81" t="s">
        <v>299</v>
      </c>
      <c r="O81">
        <v>35</v>
      </c>
      <c r="P81" t="s">
        <v>67</v>
      </c>
      <c r="Q81" t="s">
        <v>7</v>
      </c>
      <c r="R81" t="s">
        <v>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F26"/>
  <sheetViews>
    <sheetView workbookViewId="0">
      <selection activeCell="C9" sqref="C9"/>
    </sheetView>
  </sheetViews>
  <sheetFormatPr baseColWidth="10" defaultRowHeight="12.75" x14ac:dyDescent="0.2"/>
  <cols>
    <col min="3" max="3" width="13.42578125" bestFit="1" customWidth="1"/>
    <col min="4" max="4" width="28.140625" customWidth="1"/>
    <col min="5" max="5" width="47.42578125" customWidth="1"/>
    <col min="6" max="6" width="34.42578125" customWidth="1"/>
  </cols>
  <sheetData>
    <row r="1" spans="1:6" ht="25.5" x14ac:dyDescent="0.2">
      <c r="A1" t="s">
        <v>456</v>
      </c>
      <c r="B1" t="s">
        <v>457</v>
      </c>
      <c r="C1" s="46" t="s">
        <v>458</v>
      </c>
      <c r="D1" t="s">
        <v>1</v>
      </c>
      <c r="E1" t="s">
        <v>459</v>
      </c>
      <c r="F1" t="s">
        <v>460</v>
      </c>
    </row>
    <row r="2" spans="1:6" x14ac:dyDescent="0.2">
      <c r="A2" t="s">
        <v>461</v>
      </c>
      <c r="B2" t="s">
        <v>462</v>
      </c>
      <c r="C2" t="s">
        <v>12</v>
      </c>
      <c r="D2" t="s">
        <v>124</v>
      </c>
      <c r="E2" t="s">
        <v>463</v>
      </c>
      <c r="F2" t="s">
        <v>464</v>
      </c>
    </row>
    <row r="3" spans="1:6" x14ac:dyDescent="0.2">
      <c r="A3" t="s">
        <v>436</v>
      </c>
      <c r="B3" t="s">
        <v>462</v>
      </c>
      <c r="C3" s="45" t="s">
        <v>12</v>
      </c>
      <c r="D3" t="s">
        <v>124</v>
      </c>
      <c r="E3" t="s">
        <v>463</v>
      </c>
      <c r="F3" t="s">
        <v>464</v>
      </c>
    </row>
    <row r="4" spans="1:6" x14ac:dyDescent="0.2">
      <c r="A4" t="s">
        <v>78</v>
      </c>
      <c r="B4" t="s">
        <v>465</v>
      </c>
      <c r="C4" s="45" t="s">
        <v>12</v>
      </c>
      <c r="D4" t="s">
        <v>124</v>
      </c>
      <c r="F4" t="s">
        <v>466</v>
      </c>
    </row>
    <row r="5" spans="1:6" x14ac:dyDescent="0.2">
      <c r="A5" t="s">
        <v>467</v>
      </c>
      <c r="B5" t="s">
        <v>468</v>
      </c>
      <c r="C5" t="s">
        <v>469</v>
      </c>
      <c r="D5" t="s">
        <v>8</v>
      </c>
      <c r="E5" t="s">
        <v>470</v>
      </c>
      <c r="F5" t="s">
        <v>471</v>
      </c>
    </row>
    <row r="6" spans="1:6" x14ac:dyDescent="0.2">
      <c r="A6" t="s">
        <v>79</v>
      </c>
      <c r="B6" t="s">
        <v>472</v>
      </c>
      <c r="C6" t="s">
        <v>12</v>
      </c>
      <c r="D6" t="s">
        <v>124</v>
      </c>
      <c r="E6" t="s">
        <v>473</v>
      </c>
      <c r="F6" t="s">
        <v>464</v>
      </c>
    </row>
    <row r="7" spans="1:6" x14ac:dyDescent="0.2">
      <c r="A7" t="s">
        <v>123</v>
      </c>
      <c r="B7" t="s">
        <v>123</v>
      </c>
      <c r="C7" s="45"/>
      <c r="D7" t="s">
        <v>124</v>
      </c>
    </row>
    <row r="8" spans="1:6" x14ac:dyDescent="0.2">
      <c r="A8" t="s">
        <v>474</v>
      </c>
      <c r="B8" t="s">
        <v>475</v>
      </c>
      <c r="D8" t="s">
        <v>124</v>
      </c>
      <c r="F8" t="s">
        <v>464</v>
      </c>
    </row>
    <row r="9" spans="1:6" x14ac:dyDescent="0.2">
      <c r="A9" t="s">
        <v>476</v>
      </c>
      <c r="B9" t="s">
        <v>475</v>
      </c>
      <c r="D9" t="s">
        <v>124</v>
      </c>
      <c r="F9" t="s">
        <v>464</v>
      </c>
    </row>
    <row r="10" spans="1:6" x14ac:dyDescent="0.2">
      <c r="A10" t="s">
        <v>158</v>
      </c>
      <c r="B10" t="s">
        <v>472</v>
      </c>
      <c r="C10" t="s">
        <v>12</v>
      </c>
      <c r="D10" t="s">
        <v>124</v>
      </c>
      <c r="E10" t="s">
        <v>473</v>
      </c>
      <c r="F10" t="s">
        <v>464</v>
      </c>
    </row>
    <row r="11" spans="1:6" x14ac:dyDescent="0.2">
      <c r="A11" t="s">
        <v>159</v>
      </c>
      <c r="B11" t="s">
        <v>472</v>
      </c>
      <c r="C11" t="s">
        <v>12</v>
      </c>
      <c r="D11" t="s">
        <v>124</v>
      </c>
      <c r="E11" t="s">
        <v>473</v>
      </c>
      <c r="F11" t="s">
        <v>464</v>
      </c>
    </row>
    <row r="12" spans="1:6" x14ac:dyDescent="0.2">
      <c r="A12" t="s">
        <v>160</v>
      </c>
      <c r="B12" t="s">
        <v>477</v>
      </c>
      <c r="D12" t="s">
        <v>124</v>
      </c>
      <c r="F12" t="s">
        <v>65</v>
      </c>
    </row>
    <row r="13" spans="1:6" x14ac:dyDescent="0.2">
      <c r="A13" t="s">
        <v>308</v>
      </c>
      <c r="B13" t="s">
        <v>478</v>
      </c>
      <c r="D13" t="s">
        <v>124</v>
      </c>
      <c r="E13" t="s">
        <v>80</v>
      </c>
      <c r="F13" t="s">
        <v>65</v>
      </c>
    </row>
    <row r="14" spans="1:6" x14ac:dyDescent="0.2">
      <c r="A14" t="s">
        <v>506</v>
      </c>
      <c r="B14" t="s">
        <v>507</v>
      </c>
      <c r="D14" t="s">
        <v>508</v>
      </c>
      <c r="F14" t="s">
        <v>65</v>
      </c>
    </row>
    <row r="15" spans="1:6" x14ac:dyDescent="0.2">
      <c r="A15" t="s">
        <v>479</v>
      </c>
      <c r="B15" t="s">
        <v>480</v>
      </c>
      <c r="C15" t="s">
        <v>469</v>
      </c>
      <c r="D15" t="s">
        <v>124</v>
      </c>
      <c r="E15" t="s">
        <v>481</v>
      </c>
    </row>
    <row r="16" spans="1:6" x14ac:dyDescent="0.2">
      <c r="A16" t="s">
        <v>482</v>
      </c>
      <c r="B16" t="s">
        <v>480</v>
      </c>
      <c r="C16" t="s">
        <v>469</v>
      </c>
      <c r="D16" t="s">
        <v>124</v>
      </c>
      <c r="E16" t="s">
        <v>483</v>
      </c>
    </row>
    <row r="17" spans="1:6" x14ac:dyDescent="0.2">
      <c r="A17" t="s">
        <v>309</v>
      </c>
      <c r="B17" t="s">
        <v>484</v>
      </c>
      <c r="D17" t="s">
        <v>124</v>
      </c>
    </row>
    <row r="18" spans="1:6" x14ac:dyDescent="0.2">
      <c r="A18" t="s">
        <v>485</v>
      </c>
      <c r="B18" t="s">
        <v>462</v>
      </c>
      <c r="C18" t="s">
        <v>469</v>
      </c>
      <c r="D18" t="s">
        <v>486</v>
      </c>
      <c r="E18" t="s">
        <v>310</v>
      </c>
      <c r="F18" t="s">
        <v>464</v>
      </c>
    </row>
    <row r="19" spans="1:6" x14ac:dyDescent="0.2">
      <c r="A19" t="s">
        <v>311</v>
      </c>
      <c r="B19" t="s">
        <v>487</v>
      </c>
      <c r="D19" t="s">
        <v>124</v>
      </c>
    </row>
    <row r="20" spans="1:6" x14ac:dyDescent="0.2">
      <c r="A20" t="s">
        <v>312</v>
      </c>
      <c r="B20" t="s">
        <v>472</v>
      </c>
      <c r="D20" t="s">
        <v>124</v>
      </c>
    </row>
    <row r="21" spans="1:6" x14ac:dyDescent="0.2">
      <c r="A21" t="s">
        <v>488</v>
      </c>
      <c r="B21" t="s">
        <v>489</v>
      </c>
      <c r="C21" t="s">
        <v>469</v>
      </c>
      <c r="D21" t="s">
        <v>124</v>
      </c>
      <c r="E21" t="s">
        <v>481</v>
      </c>
    </row>
    <row r="22" spans="1:6" x14ac:dyDescent="0.2">
      <c r="A22" t="s">
        <v>490</v>
      </c>
      <c r="B22" t="s">
        <v>489</v>
      </c>
      <c r="C22" t="s">
        <v>469</v>
      </c>
      <c r="D22" t="s">
        <v>124</v>
      </c>
      <c r="E22" t="s">
        <v>483</v>
      </c>
    </row>
    <row r="23" spans="1:6" x14ac:dyDescent="0.2">
      <c r="A23" t="s">
        <v>348</v>
      </c>
      <c r="B23" t="s">
        <v>491</v>
      </c>
      <c r="E23" t="s">
        <v>349</v>
      </c>
    </row>
    <row r="24" spans="1:6" x14ac:dyDescent="0.2">
      <c r="A24" t="s">
        <v>611</v>
      </c>
      <c r="B24" t="s">
        <v>472</v>
      </c>
      <c r="C24" t="s">
        <v>12</v>
      </c>
      <c r="D24" t="s">
        <v>124</v>
      </c>
      <c r="E24" s="46"/>
      <c r="F24" t="s">
        <v>464</v>
      </c>
    </row>
    <row r="25" spans="1:6" ht="25.5" x14ac:dyDescent="0.2">
      <c r="A25" t="s">
        <v>492</v>
      </c>
      <c r="B25" t="s">
        <v>462</v>
      </c>
      <c r="C25" t="s">
        <v>69</v>
      </c>
      <c r="D25" t="s">
        <v>493</v>
      </c>
      <c r="E25" s="46" t="s">
        <v>494</v>
      </c>
      <c r="F25" t="s">
        <v>65</v>
      </c>
    </row>
    <row r="26" spans="1:6" x14ac:dyDescent="0.2">
      <c r="A26" t="s">
        <v>666</v>
      </c>
      <c r="B26" t="s">
        <v>472</v>
      </c>
      <c r="C26" t="s">
        <v>469</v>
      </c>
      <c r="D26" t="s">
        <v>493</v>
      </c>
      <c r="E26" t="s">
        <v>667</v>
      </c>
      <c r="F26" t="s">
        <v>464</v>
      </c>
    </row>
  </sheetData>
  <dataValidations count="1">
    <dataValidation type="list" allowBlank="1" showInputMessage="1" showErrorMessage="1" sqref="B2" xr:uid="{00000000-0002-0000-0400-000000000000}">
      <formula1>ListeOnd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2:C14"/>
  <sheetViews>
    <sheetView workbookViewId="0">
      <selection activeCell="B27" sqref="B27"/>
    </sheetView>
  </sheetViews>
  <sheetFormatPr baseColWidth="10" defaultRowHeight="12.75" x14ac:dyDescent="0.2"/>
  <cols>
    <col min="1" max="1" width="22.7109375" customWidth="1"/>
    <col min="2" max="2" width="28.85546875" customWidth="1"/>
  </cols>
  <sheetData>
    <row r="2" spans="1:3" x14ac:dyDescent="0.2">
      <c r="A2" t="s">
        <v>329</v>
      </c>
      <c r="B2" t="s">
        <v>330</v>
      </c>
      <c r="C2" t="s">
        <v>331</v>
      </c>
    </row>
    <row r="3" spans="1:3" x14ac:dyDescent="0.2">
      <c r="A3" t="s">
        <v>42</v>
      </c>
      <c r="B3" t="s">
        <v>101</v>
      </c>
      <c r="C3" t="s">
        <v>58</v>
      </c>
    </row>
    <row r="4" spans="1:3" x14ac:dyDescent="0.2">
      <c r="A4" t="s">
        <v>43</v>
      </c>
      <c r="B4" t="s">
        <v>102</v>
      </c>
      <c r="C4" t="s">
        <v>59</v>
      </c>
    </row>
    <row r="5" spans="1:3" x14ac:dyDescent="0.2">
      <c r="A5" t="s">
        <v>44</v>
      </c>
      <c r="B5" t="s">
        <v>103</v>
      </c>
      <c r="C5" t="s">
        <v>60</v>
      </c>
    </row>
    <row r="6" spans="1:3" x14ac:dyDescent="0.2">
      <c r="A6" t="s">
        <v>313</v>
      </c>
      <c r="B6" t="s">
        <v>125</v>
      </c>
      <c r="C6" t="s">
        <v>314</v>
      </c>
    </row>
    <row r="7" spans="1:3" x14ac:dyDescent="0.2">
      <c r="A7" t="s">
        <v>106</v>
      </c>
      <c r="B7" t="s">
        <v>81</v>
      </c>
      <c r="C7" t="s">
        <v>107</v>
      </c>
    </row>
    <row r="8" spans="1:3" x14ac:dyDescent="0.2">
      <c r="A8" t="s">
        <v>126</v>
      </c>
      <c r="B8" t="s">
        <v>111</v>
      </c>
      <c r="C8" t="s">
        <v>127</v>
      </c>
    </row>
    <row r="9" spans="1:3" x14ac:dyDescent="0.2">
      <c r="A9" t="s">
        <v>198</v>
      </c>
      <c r="B9" t="s">
        <v>199</v>
      </c>
      <c r="C9" t="s">
        <v>200</v>
      </c>
    </row>
    <row r="10" spans="1:3" x14ac:dyDescent="0.2">
      <c r="A10" t="s">
        <v>323</v>
      </c>
      <c r="B10" t="s">
        <v>324</v>
      </c>
      <c r="C10" t="s">
        <v>325</v>
      </c>
    </row>
    <row r="11" spans="1:3" x14ac:dyDescent="0.2">
      <c r="A11" t="s">
        <v>332</v>
      </c>
      <c r="B11" t="s">
        <v>333</v>
      </c>
      <c r="C11" t="s">
        <v>334</v>
      </c>
    </row>
    <row r="12" spans="1:3" x14ac:dyDescent="0.2">
      <c r="A12" t="s">
        <v>335</v>
      </c>
      <c r="B12" t="s">
        <v>336</v>
      </c>
      <c r="C12" t="s">
        <v>337</v>
      </c>
    </row>
    <row r="13" spans="1:3" x14ac:dyDescent="0.2">
      <c r="A13" t="s">
        <v>407</v>
      </c>
      <c r="B13" t="s">
        <v>408</v>
      </c>
      <c r="C13" t="s">
        <v>409</v>
      </c>
    </row>
    <row r="14" spans="1:3" x14ac:dyDescent="0.2">
      <c r="A14" t="s">
        <v>437</v>
      </c>
      <c r="B14" t="s">
        <v>438</v>
      </c>
      <c r="C14" t="s">
        <v>439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1:AI41"/>
  <sheetViews>
    <sheetView topLeftCell="A10" workbookViewId="0">
      <selection activeCell="A28" sqref="A28:G28"/>
    </sheetView>
  </sheetViews>
  <sheetFormatPr baseColWidth="10" defaultColWidth="11.42578125" defaultRowHeight="15" x14ac:dyDescent="0.2"/>
  <cols>
    <col min="1" max="1" width="31" style="62" bestFit="1" customWidth="1"/>
    <col min="2" max="3" width="11.42578125" style="62"/>
    <col min="4" max="4" width="13.42578125" style="62" customWidth="1"/>
    <col min="5" max="5" width="11.42578125" style="62"/>
    <col min="6" max="6" width="11.140625" style="62" customWidth="1"/>
    <col min="7" max="7" width="11.42578125" style="62"/>
    <col min="8" max="8" width="2.7109375" style="62" customWidth="1"/>
    <col min="9" max="17" width="10.7109375" style="62" customWidth="1"/>
    <col min="18" max="18" width="11.42578125" style="62"/>
    <col min="19" max="35" width="5.7109375" style="62" customWidth="1"/>
    <col min="36" max="16384" width="11.42578125" style="62"/>
  </cols>
  <sheetData>
    <row r="1" spans="1:35" ht="15" customHeight="1" thickBot="1" x14ac:dyDescent="0.25">
      <c r="A1" s="61" t="s">
        <v>161</v>
      </c>
      <c r="B1" s="61" t="s">
        <v>162</v>
      </c>
      <c r="C1" s="61" t="s">
        <v>163</v>
      </c>
      <c r="K1" s="729"/>
      <c r="L1" s="729"/>
      <c r="M1" s="729"/>
      <c r="N1" s="52"/>
    </row>
    <row r="2" spans="1:35" ht="15" customHeight="1" x14ac:dyDescent="0.2">
      <c r="A2" s="61" t="s">
        <v>164</v>
      </c>
      <c r="B2" s="85">
        <f>DONNEES!L30</f>
        <v>0</v>
      </c>
      <c r="C2" s="61" t="s">
        <v>165</v>
      </c>
      <c r="I2" s="63" t="s">
        <v>166</v>
      </c>
      <c r="J2" s="64" t="s">
        <v>167</v>
      </c>
      <c r="K2" s="64">
        <v>3.6999999999999998E-2</v>
      </c>
      <c r="L2" s="53" t="s">
        <v>168</v>
      </c>
      <c r="M2" s="53" t="s">
        <v>169</v>
      </c>
      <c r="N2" s="53" t="s">
        <v>10</v>
      </c>
      <c r="O2" s="53" t="s">
        <v>170</v>
      </c>
      <c r="P2" s="730" t="s">
        <v>62</v>
      </c>
      <c r="Q2" s="731"/>
      <c r="R2" s="63">
        <v>0</v>
      </c>
      <c r="S2" s="53">
        <v>6</v>
      </c>
      <c r="T2" s="53">
        <v>10</v>
      </c>
      <c r="U2" s="53">
        <v>16</v>
      </c>
      <c r="V2" s="53">
        <v>20</v>
      </c>
      <c r="W2" s="53">
        <v>25</v>
      </c>
      <c r="X2" s="53">
        <v>32</v>
      </c>
      <c r="Y2" s="53">
        <v>40</v>
      </c>
      <c r="Z2" s="53">
        <v>50</v>
      </c>
      <c r="AA2" s="53">
        <v>63</v>
      </c>
      <c r="AB2" s="53">
        <v>80</v>
      </c>
      <c r="AC2" s="53">
        <v>100</v>
      </c>
      <c r="AD2" s="53">
        <v>125</v>
      </c>
      <c r="AE2" s="53">
        <v>160</v>
      </c>
      <c r="AF2" s="53">
        <v>200</v>
      </c>
      <c r="AG2" s="53">
        <v>250</v>
      </c>
      <c r="AH2" s="53">
        <v>300</v>
      </c>
      <c r="AI2" s="54">
        <f>B4</f>
        <v>0</v>
      </c>
    </row>
    <row r="3" spans="1:35" ht="15" customHeight="1" x14ac:dyDescent="0.2">
      <c r="A3" s="61" t="s">
        <v>171</v>
      </c>
      <c r="B3" s="86">
        <f>METRE!AC59</f>
        <v>0</v>
      </c>
      <c r="C3" s="61" t="s">
        <v>172</v>
      </c>
      <c r="E3" s="87"/>
      <c r="F3" s="62" t="s">
        <v>173</v>
      </c>
      <c r="I3" s="32">
        <v>0</v>
      </c>
      <c r="J3" s="61" t="s">
        <v>174</v>
      </c>
      <c r="K3" s="61" t="s">
        <v>175</v>
      </c>
      <c r="L3" s="12" t="s">
        <v>91</v>
      </c>
      <c r="M3" s="12" t="s">
        <v>176</v>
      </c>
      <c r="N3" s="12"/>
      <c r="O3" s="12"/>
      <c r="P3" s="12" t="s">
        <v>177</v>
      </c>
      <c r="Q3" s="13" t="s">
        <v>178</v>
      </c>
      <c r="R3" s="32">
        <f>S2</f>
        <v>6</v>
      </c>
      <c r="S3" s="61">
        <f>T2</f>
        <v>10</v>
      </c>
      <c r="T3" s="61">
        <f t="shared" ref="T3:AH3" si="0">U2</f>
        <v>16</v>
      </c>
      <c r="U3" s="61">
        <f t="shared" si="0"/>
        <v>20</v>
      </c>
      <c r="V3" s="61">
        <f t="shared" si="0"/>
        <v>25</v>
      </c>
      <c r="W3" s="61">
        <f t="shared" si="0"/>
        <v>32</v>
      </c>
      <c r="X3" s="61">
        <f t="shared" si="0"/>
        <v>40</v>
      </c>
      <c r="Y3" s="61">
        <f t="shared" si="0"/>
        <v>50</v>
      </c>
      <c r="Z3" s="61">
        <f t="shared" si="0"/>
        <v>63</v>
      </c>
      <c r="AA3" s="61">
        <f t="shared" si="0"/>
        <v>80</v>
      </c>
      <c r="AB3" s="61">
        <f t="shared" si="0"/>
        <v>100</v>
      </c>
      <c r="AC3" s="61">
        <f t="shared" si="0"/>
        <v>125</v>
      </c>
      <c r="AD3" s="61">
        <f t="shared" si="0"/>
        <v>160</v>
      </c>
      <c r="AE3" s="61">
        <f t="shared" si="0"/>
        <v>200</v>
      </c>
      <c r="AF3" s="61">
        <f t="shared" si="0"/>
        <v>250</v>
      </c>
      <c r="AG3" s="61">
        <f t="shared" si="0"/>
        <v>300</v>
      </c>
      <c r="AH3" s="61">
        <f t="shared" si="0"/>
        <v>0</v>
      </c>
      <c r="AI3" s="88"/>
    </row>
    <row r="4" spans="1:35" ht="15" customHeight="1" thickBot="1" x14ac:dyDescent="0.25">
      <c r="A4" s="61" t="s">
        <v>179</v>
      </c>
      <c r="B4" s="89">
        <f>DONNEES!D26+DONNEES!D32+DONNEES!D38</f>
        <v>0</v>
      </c>
      <c r="C4" s="61" t="s">
        <v>180</v>
      </c>
      <c r="E4" s="90"/>
      <c r="F4" s="62" t="s">
        <v>181</v>
      </c>
      <c r="I4" s="32" t="e">
        <f>IF(AND(N4&lt;=B$5,O4&gt;=S$4),IF(I3=0,2,1),0)</f>
        <v>#N/A</v>
      </c>
      <c r="J4" s="61">
        <v>1</v>
      </c>
      <c r="K4" s="16">
        <v>35</v>
      </c>
      <c r="L4" s="40">
        <f>VLOOKUP(K4,DB_Câble!$B$2:$F$9,2)</f>
        <v>160</v>
      </c>
      <c r="M4" s="40">
        <f>VLOOKUP(K4,DB_Câble!$B$2:$F$9,3)</f>
        <v>134</v>
      </c>
      <c r="N4" s="14" t="e">
        <f t="shared" ref="N4:N22" si="1">(B$8*(K$2*(B$3/(K4*J4))*B$11)*B$4)/B$12</f>
        <v>#N/A</v>
      </c>
      <c r="O4" s="15" t="e">
        <f t="shared" ref="O4:O22" si="2">IF(B$8=1,M4*B$9*B$10,L4*B$9*B$10)</f>
        <v>#N/A</v>
      </c>
      <c r="P4" s="91">
        <f>VLOOKUP(K4,DB_Câble!B2:F9,4)*E$12</f>
        <v>3.5620000000000003</v>
      </c>
      <c r="Q4" s="92">
        <f>VLOOKUP(K4,DB_Câble!B2:F9,5)*E$12</f>
        <v>3.25</v>
      </c>
      <c r="R4" s="93" t="s">
        <v>201</v>
      </c>
      <c r="S4" s="94">
        <f>IF(S6="",HLOOKUP(B4,R2:AH3,2,TRUE),S6)</f>
        <v>6</v>
      </c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I4" s="95"/>
    </row>
    <row r="5" spans="1:35" ht="15" customHeight="1" thickBot="1" x14ac:dyDescent="0.25">
      <c r="A5" s="61" t="s">
        <v>10</v>
      </c>
      <c r="B5" s="96">
        <f>METRE!AA59</f>
        <v>0</v>
      </c>
      <c r="C5" s="61"/>
      <c r="I5" s="32" t="e">
        <f t="shared" ref="I5:I20" si="3">IF(AND(N5&lt;=B$5,O5&gt;=S$4),IF(I4=0,2,1),0)</f>
        <v>#N/A</v>
      </c>
      <c r="J5" s="23">
        <v>1</v>
      </c>
      <c r="K5" s="16">
        <v>50</v>
      </c>
      <c r="L5" s="40">
        <f>VLOOKUP(K5,DB_Câble!$B$2:$F$9,2)</f>
        <v>188</v>
      </c>
      <c r="M5" s="40">
        <f>VLOOKUP(K5,DB_Câble!$B$2:$F$9,3)</f>
        <v>160</v>
      </c>
      <c r="N5" s="14" t="e">
        <f t="shared" si="1"/>
        <v>#N/A</v>
      </c>
      <c r="O5" s="15" t="e">
        <f t="shared" si="2"/>
        <v>#N/A</v>
      </c>
      <c r="P5" s="91">
        <f>VLOOKUP(K5,DB_Câble!B3:F10,4)*E$12</f>
        <v>3.7439999999999998</v>
      </c>
      <c r="Q5" s="92">
        <f>VLOOKUP(K5,DB_Câble!B3:F10,5)*E$12</f>
        <v>3.9000000000000004</v>
      </c>
    </row>
    <row r="6" spans="1:35" ht="15" customHeight="1" thickBot="1" x14ac:dyDescent="0.25">
      <c r="A6" s="61" t="s">
        <v>1</v>
      </c>
      <c r="B6" s="89" t="e">
        <f>METRE!#REF!</f>
        <v>#REF!</v>
      </c>
      <c r="C6" s="61" t="s">
        <v>182</v>
      </c>
      <c r="I6" s="32" t="e">
        <f t="shared" si="3"/>
        <v>#N/A</v>
      </c>
      <c r="J6" s="23">
        <v>1</v>
      </c>
      <c r="K6" s="17">
        <v>70</v>
      </c>
      <c r="L6" s="40">
        <f>VLOOKUP(K6,DB_Câble!$B$2:$F$9,2)</f>
        <v>233</v>
      </c>
      <c r="M6" s="40">
        <f>VLOOKUP(K6,DB_Câble!$B$2:$F$9,3)</f>
        <v>197</v>
      </c>
      <c r="N6" s="14" t="e">
        <f t="shared" si="1"/>
        <v>#N/A</v>
      </c>
      <c r="O6" s="15" t="e">
        <f t="shared" si="2"/>
        <v>#N/A</v>
      </c>
      <c r="P6" s="91">
        <f>VLOOKUP(K6,DB_Câble!B4:F11,4)*E$12</f>
        <v>5.1219999999999999</v>
      </c>
      <c r="Q6" s="92" t="s">
        <v>57</v>
      </c>
      <c r="R6" s="97" t="s">
        <v>543</v>
      </c>
      <c r="S6" s="98"/>
    </row>
    <row r="7" spans="1:35" ht="15" customHeight="1" x14ac:dyDescent="0.2">
      <c r="I7" s="32" t="e">
        <f t="shared" si="3"/>
        <v>#N/A</v>
      </c>
      <c r="J7" s="23">
        <v>1</v>
      </c>
      <c r="K7" s="17">
        <v>95</v>
      </c>
      <c r="L7" s="40">
        <f>VLOOKUP(K7,DB_Câble!$B$2:$F$9,2)</f>
        <v>275</v>
      </c>
      <c r="M7" s="40">
        <f>VLOOKUP(K7,DB_Câble!$B$2:$F$9,3)</f>
        <v>234</v>
      </c>
      <c r="N7" s="14" t="e">
        <f t="shared" si="1"/>
        <v>#N/A</v>
      </c>
      <c r="O7" s="15" t="e">
        <f t="shared" si="2"/>
        <v>#N/A</v>
      </c>
      <c r="P7" s="91">
        <f>VLOOKUP(K7,DB_Câble!B5:F12,4)*E$12</f>
        <v>6.6560000000000006</v>
      </c>
      <c r="Q7" s="92" t="s">
        <v>57</v>
      </c>
    </row>
    <row r="8" spans="1:35" ht="15" customHeight="1" x14ac:dyDescent="0.2">
      <c r="A8" s="99" t="s">
        <v>183</v>
      </c>
      <c r="B8" s="19" t="e">
        <f>VLOOKUP(DONNEES!B24,DONNEES!C23:D24,2,FALSE)</f>
        <v>#N/A</v>
      </c>
      <c r="I8" s="32" t="e">
        <f t="shared" si="3"/>
        <v>#N/A</v>
      </c>
      <c r="J8" s="23">
        <v>1</v>
      </c>
      <c r="K8" s="17">
        <v>120</v>
      </c>
      <c r="L8" s="40">
        <f>VLOOKUP(K8,DB_Câble!$B$2:$F$9,2)</f>
        <v>314</v>
      </c>
      <c r="M8" s="40">
        <f>VLOOKUP(K8,DB_Câble!$B$2:$F$9,3)</f>
        <v>266</v>
      </c>
      <c r="N8" s="14" t="e">
        <f t="shared" si="1"/>
        <v>#N/A</v>
      </c>
      <c r="O8" s="15" t="e">
        <f t="shared" si="2"/>
        <v>#N/A</v>
      </c>
      <c r="P8" s="91">
        <f>VLOOKUP(K8,DB_Câble!B6:F13,4)*E$12</f>
        <v>8.32</v>
      </c>
      <c r="Q8" s="92" t="s">
        <v>57</v>
      </c>
    </row>
    <row r="9" spans="1:35" ht="15" customHeight="1" x14ac:dyDescent="0.2">
      <c r="A9" s="20" t="s">
        <v>184</v>
      </c>
      <c r="B9" s="20">
        <v>0.8</v>
      </c>
      <c r="I9" s="32" t="e">
        <f t="shared" si="3"/>
        <v>#N/A</v>
      </c>
      <c r="J9" s="23">
        <v>1</v>
      </c>
      <c r="K9" s="17">
        <v>150</v>
      </c>
      <c r="L9" s="40">
        <f>VLOOKUP(K9,DB_Câble!$B$2:$F$9,2)</f>
        <v>359</v>
      </c>
      <c r="M9" s="40">
        <f>VLOOKUP(K9,DB_Câble!$B$2:$F$9,3)</f>
        <v>300</v>
      </c>
      <c r="N9" s="14" t="e">
        <f t="shared" si="1"/>
        <v>#N/A</v>
      </c>
      <c r="O9" s="15" t="e">
        <f t="shared" si="2"/>
        <v>#N/A</v>
      </c>
      <c r="P9" s="91">
        <f>VLOOKUP(K9,DB_Câble!B7:F14,4)*E$12</f>
        <v>9.9580000000000002</v>
      </c>
      <c r="Q9" s="92" t="s">
        <v>57</v>
      </c>
    </row>
    <row r="10" spans="1:35" ht="15" customHeight="1" x14ac:dyDescent="0.2">
      <c r="A10" s="20" t="s">
        <v>185</v>
      </c>
      <c r="B10" s="20">
        <v>1</v>
      </c>
      <c r="I10" s="32" t="e">
        <f t="shared" si="3"/>
        <v>#N/A</v>
      </c>
      <c r="J10" s="23">
        <v>1</v>
      </c>
      <c r="K10" s="17">
        <v>185</v>
      </c>
      <c r="L10" s="40">
        <f>VLOOKUP(K10,DB_Câble!$B$2:$F$9,2)</f>
        <v>398</v>
      </c>
      <c r="M10" s="40">
        <f>VLOOKUP(K10,DB_Câble!$B$2:$F$9,3)</f>
        <v>337</v>
      </c>
      <c r="N10" s="14" t="e">
        <f t="shared" si="1"/>
        <v>#N/A</v>
      </c>
      <c r="O10" s="15" t="e">
        <f t="shared" si="2"/>
        <v>#N/A</v>
      </c>
      <c r="P10" s="91">
        <f>VLOOKUP(K10,DB_Câble!B8:F15,4)*E$12</f>
        <v>12.233000000000001</v>
      </c>
      <c r="Q10" s="92" t="s">
        <v>57</v>
      </c>
    </row>
    <row r="11" spans="1:35" ht="15" customHeight="1" x14ac:dyDescent="0.2">
      <c r="A11" s="99" t="s">
        <v>186</v>
      </c>
      <c r="B11" s="21">
        <v>1</v>
      </c>
      <c r="I11" s="32" t="e">
        <f t="shared" si="3"/>
        <v>#N/A</v>
      </c>
      <c r="J11" s="23">
        <v>1</v>
      </c>
      <c r="K11" s="17">
        <v>240</v>
      </c>
      <c r="L11" s="40">
        <f>VLOOKUP(K11,DB_Câble!$B$2:$F$9,2)</f>
        <v>458</v>
      </c>
      <c r="M11" s="40">
        <f>VLOOKUP(K11,DB_Câble!$B$2:$F$9,3)</f>
        <v>388</v>
      </c>
      <c r="N11" s="14" t="e">
        <f t="shared" si="1"/>
        <v>#N/A</v>
      </c>
      <c r="O11" s="15" t="e">
        <f t="shared" si="2"/>
        <v>#N/A</v>
      </c>
      <c r="P11" s="91">
        <f>VLOOKUP(K11,DB_Câble!B9:F16,4)*E$12</f>
        <v>15.951000000000001</v>
      </c>
      <c r="Q11" s="92" t="s">
        <v>57</v>
      </c>
    </row>
    <row r="12" spans="1:35" ht="15" customHeight="1" x14ac:dyDescent="0.2">
      <c r="A12" s="20" t="s">
        <v>187</v>
      </c>
      <c r="B12" s="22">
        <v>240</v>
      </c>
      <c r="D12" s="100" t="s">
        <v>202</v>
      </c>
      <c r="E12" s="61">
        <v>1.3</v>
      </c>
      <c r="I12" s="32" t="e">
        <f>IF(AND(N12&lt;=B$5,O12&gt;=S$4),IF(I10=0,2,1),0)</f>
        <v>#N/A</v>
      </c>
      <c r="J12" s="23">
        <v>2</v>
      </c>
      <c r="K12" s="23">
        <v>95</v>
      </c>
      <c r="L12" s="65">
        <f>J12*L7</f>
        <v>550</v>
      </c>
      <c r="M12" s="65">
        <f>J12*M7</f>
        <v>468</v>
      </c>
      <c r="N12" s="14" t="e">
        <f t="shared" si="1"/>
        <v>#N/A</v>
      </c>
      <c r="O12" s="15" t="e">
        <f t="shared" si="2"/>
        <v>#N/A</v>
      </c>
      <c r="P12" s="101">
        <f>J12*P7</f>
        <v>13.312000000000001</v>
      </c>
      <c r="Q12" s="102" t="s">
        <v>57</v>
      </c>
    </row>
    <row r="13" spans="1:35" ht="15" customHeight="1" x14ac:dyDescent="0.2">
      <c r="I13" s="32" t="e">
        <f>IF(AND(N13&lt;=B$5,O13&gt;=S$4),IF(I11=0,2,1),0)</f>
        <v>#N/A</v>
      </c>
      <c r="J13" s="23">
        <v>2</v>
      </c>
      <c r="K13" s="23">
        <v>120</v>
      </c>
      <c r="L13" s="65">
        <f t="shared" ref="L13:L16" si="4">J13*L8</f>
        <v>628</v>
      </c>
      <c r="M13" s="65">
        <f t="shared" ref="M13:M16" si="5">J13*M8</f>
        <v>532</v>
      </c>
      <c r="N13" s="14" t="e">
        <f t="shared" si="1"/>
        <v>#N/A</v>
      </c>
      <c r="O13" s="15" t="e">
        <f t="shared" si="2"/>
        <v>#N/A</v>
      </c>
      <c r="P13" s="101">
        <f t="shared" ref="P13:P16" si="6">J13*P8</f>
        <v>16.64</v>
      </c>
      <c r="Q13" s="102" t="s">
        <v>57</v>
      </c>
    </row>
    <row r="14" spans="1:35" ht="15" customHeight="1" thickBot="1" x14ac:dyDescent="0.25">
      <c r="F14" s="103"/>
      <c r="I14" s="32" t="e">
        <f t="shared" si="3"/>
        <v>#N/A</v>
      </c>
      <c r="J14" s="23">
        <v>2</v>
      </c>
      <c r="K14" s="23">
        <v>150</v>
      </c>
      <c r="L14" s="65">
        <f t="shared" si="4"/>
        <v>718</v>
      </c>
      <c r="M14" s="65">
        <f t="shared" si="5"/>
        <v>600</v>
      </c>
      <c r="N14" s="14" t="e">
        <f t="shared" si="1"/>
        <v>#N/A</v>
      </c>
      <c r="O14" s="15" t="e">
        <f t="shared" si="2"/>
        <v>#N/A</v>
      </c>
      <c r="P14" s="101">
        <f t="shared" si="6"/>
        <v>19.916</v>
      </c>
      <c r="Q14" s="102" t="s">
        <v>57</v>
      </c>
    </row>
    <row r="15" spans="1:35" ht="15" customHeight="1" x14ac:dyDescent="0.2">
      <c r="A15" s="104" t="s">
        <v>95</v>
      </c>
      <c r="B15" s="66" t="e">
        <f>VLOOKUP(2,I4:O22,2,FALSE)</f>
        <v>#N/A</v>
      </c>
      <c r="C15" s="66" t="e">
        <f>VLOOKUP(2,I4:O22,3,FALSE)</f>
        <v>#N/A</v>
      </c>
      <c r="D15" s="67" t="e">
        <f>VLOOKUP(2,I4:O22,6,FALSE)</f>
        <v>#N/A</v>
      </c>
      <c r="E15" s="68" t="e">
        <f>ROUNDDOWN(VLOOKUP(2,I4:Q22,IF(B8=1,8,9),FALSE),2)</f>
        <v>#N/A</v>
      </c>
      <c r="I15" s="32" t="e">
        <f t="shared" si="3"/>
        <v>#N/A</v>
      </c>
      <c r="J15" s="23">
        <v>2</v>
      </c>
      <c r="K15" s="23">
        <v>185</v>
      </c>
      <c r="L15" s="65">
        <f t="shared" si="4"/>
        <v>796</v>
      </c>
      <c r="M15" s="65">
        <f t="shared" si="5"/>
        <v>674</v>
      </c>
      <c r="N15" s="14" t="e">
        <f t="shared" si="1"/>
        <v>#N/A</v>
      </c>
      <c r="O15" s="15" t="e">
        <f t="shared" si="2"/>
        <v>#N/A</v>
      </c>
      <c r="P15" s="101">
        <f t="shared" si="6"/>
        <v>24.466000000000001</v>
      </c>
      <c r="Q15" s="102" t="s">
        <v>57</v>
      </c>
    </row>
    <row r="16" spans="1:35" ht="15" customHeight="1" thickBot="1" x14ac:dyDescent="0.25">
      <c r="A16" s="105" t="s">
        <v>94</v>
      </c>
      <c r="B16" s="69" t="e">
        <f>VLOOKUP(2,I25:O36,2,FALSE)</f>
        <v>#N/A</v>
      </c>
      <c r="C16" s="69" t="e">
        <f>VLOOKUP(2,I25:O36,3,FALSE)</f>
        <v>#N/A</v>
      </c>
      <c r="D16" s="70" t="e">
        <f>VLOOKUP(2,I25:O36,6,FALSE)</f>
        <v>#N/A</v>
      </c>
      <c r="E16" s="71" t="e">
        <f>ROUNDDOWN(VLOOKUP(2,I25:Q36,IF(B8=1,8,9),FALSE),2)</f>
        <v>#N/A</v>
      </c>
      <c r="I16" s="32" t="e">
        <f t="shared" si="3"/>
        <v>#N/A</v>
      </c>
      <c r="J16" s="23">
        <v>2</v>
      </c>
      <c r="K16" s="23">
        <v>240</v>
      </c>
      <c r="L16" s="65">
        <f t="shared" si="4"/>
        <v>916</v>
      </c>
      <c r="M16" s="65">
        <f t="shared" si="5"/>
        <v>776</v>
      </c>
      <c r="N16" s="14" t="e">
        <f t="shared" si="1"/>
        <v>#N/A</v>
      </c>
      <c r="O16" s="15" t="e">
        <f t="shared" si="2"/>
        <v>#N/A</v>
      </c>
      <c r="P16" s="101">
        <f t="shared" si="6"/>
        <v>31.902000000000001</v>
      </c>
      <c r="Q16" s="102" t="s">
        <v>57</v>
      </c>
    </row>
    <row r="17" spans="1:17" ht="15" customHeight="1" x14ac:dyDescent="0.2">
      <c r="A17" s="72" t="e">
        <f>IF(B15=1," câble de "," câbles de ")</f>
        <v>#N/A</v>
      </c>
      <c r="B17" s="106"/>
      <c r="C17" s="72" t="e">
        <f>IF(B8=1,4,2)</f>
        <v>#N/A</v>
      </c>
      <c r="D17" s="107" t="e">
        <f>ROUND((D15*100),2)</f>
        <v>#N/A</v>
      </c>
      <c r="I17" s="32" t="e">
        <f>IF(AND(N17&lt;=B$5,O17&gt;=S$4),IF(I15=0,2,1),0)</f>
        <v>#N/A</v>
      </c>
      <c r="J17" s="23">
        <v>3</v>
      </c>
      <c r="K17" s="23">
        <v>95</v>
      </c>
      <c r="L17" s="65">
        <f>J17*L7</f>
        <v>825</v>
      </c>
      <c r="M17" s="65">
        <f>J17*M7</f>
        <v>702</v>
      </c>
      <c r="N17" s="14" t="e">
        <f t="shared" si="1"/>
        <v>#N/A</v>
      </c>
      <c r="O17" s="15" t="e">
        <f t="shared" si="2"/>
        <v>#N/A</v>
      </c>
      <c r="P17" s="101">
        <f>J17*P7</f>
        <v>19.968000000000004</v>
      </c>
      <c r="Q17" s="102" t="s">
        <v>57</v>
      </c>
    </row>
    <row r="18" spans="1:17" ht="15" customHeight="1" x14ac:dyDescent="0.2">
      <c r="D18" s="108" t="e">
        <f>ROUND((D16*100),2)</f>
        <v>#N/A</v>
      </c>
      <c r="I18" s="32" t="e">
        <f>IF(AND(N18&lt;=B$5,O18&gt;=S$4),IF(I16=0,2,1),0)</f>
        <v>#N/A</v>
      </c>
      <c r="J18" s="23">
        <v>3</v>
      </c>
      <c r="K18" s="23">
        <v>120</v>
      </c>
      <c r="L18" s="65">
        <f t="shared" ref="L18:L21" si="7">J18*L8</f>
        <v>942</v>
      </c>
      <c r="M18" s="65">
        <f t="shared" ref="M18:M21" si="8">J18*M8</f>
        <v>798</v>
      </c>
      <c r="N18" s="14" t="e">
        <f t="shared" si="1"/>
        <v>#N/A</v>
      </c>
      <c r="O18" s="15" t="e">
        <f t="shared" si="2"/>
        <v>#N/A</v>
      </c>
      <c r="P18" s="101">
        <f t="shared" ref="P18:P21" si="9">J18*P8</f>
        <v>24.96</v>
      </c>
      <c r="Q18" s="102" t="s">
        <v>57</v>
      </c>
    </row>
    <row r="19" spans="1:17" ht="15" customHeight="1" thickBot="1" x14ac:dyDescent="0.25">
      <c r="H19" s="73"/>
      <c r="I19" s="32" t="e">
        <f t="shared" si="3"/>
        <v>#N/A</v>
      </c>
      <c r="J19" s="23">
        <v>3</v>
      </c>
      <c r="K19" s="23">
        <v>150</v>
      </c>
      <c r="L19" s="65">
        <f t="shared" si="7"/>
        <v>1077</v>
      </c>
      <c r="M19" s="65">
        <f t="shared" si="8"/>
        <v>900</v>
      </c>
      <c r="N19" s="14" t="e">
        <f t="shared" si="1"/>
        <v>#N/A</v>
      </c>
      <c r="O19" s="15" t="e">
        <f t="shared" si="2"/>
        <v>#N/A</v>
      </c>
      <c r="P19" s="101">
        <f t="shared" si="9"/>
        <v>29.874000000000002</v>
      </c>
      <c r="Q19" s="102" t="s">
        <v>57</v>
      </c>
    </row>
    <row r="20" spans="1:17" ht="15" customHeight="1" x14ac:dyDescent="0.2">
      <c r="A20" s="104" t="s">
        <v>95</v>
      </c>
      <c r="B20" s="732" t="e">
        <f>CONCATENATE(B15,A17,B3,"m en aluminium - U1000 AR2V - ",C17," x ",C15," mm² ",IF(C23&gt;0,CONCATENATE("/ ",C23," raccords souples ",D23),""),"/ Perte estimée à Pmax. = ",D17," %")</f>
        <v>#N/A</v>
      </c>
      <c r="C20" s="732"/>
      <c r="D20" s="732"/>
      <c r="E20" s="732"/>
      <c r="F20" s="732"/>
      <c r="G20" s="733"/>
      <c r="I20" s="32" t="e">
        <f t="shared" si="3"/>
        <v>#N/A</v>
      </c>
      <c r="J20" s="23">
        <v>3</v>
      </c>
      <c r="K20" s="23">
        <v>185</v>
      </c>
      <c r="L20" s="65">
        <f t="shared" si="7"/>
        <v>1194</v>
      </c>
      <c r="M20" s="65">
        <f t="shared" si="8"/>
        <v>1011</v>
      </c>
      <c r="N20" s="14" t="e">
        <f t="shared" si="1"/>
        <v>#N/A</v>
      </c>
      <c r="O20" s="15" t="e">
        <f t="shared" si="2"/>
        <v>#N/A</v>
      </c>
      <c r="P20" s="101">
        <f t="shared" si="9"/>
        <v>36.698999999999998</v>
      </c>
      <c r="Q20" s="102" t="s">
        <v>57</v>
      </c>
    </row>
    <row r="21" spans="1:17" ht="15" customHeight="1" thickBot="1" x14ac:dyDescent="0.25">
      <c r="A21" s="105" t="s">
        <v>94</v>
      </c>
      <c r="B21" s="734" t="e">
        <f>CONCATENATE(B16,A17,B3," mètres en cuivre - U1000 RO2V - ",C17," x ",C16," mm² / perte estimée à Pmax = ",D18," %")</f>
        <v>#N/A</v>
      </c>
      <c r="C21" s="734"/>
      <c r="D21" s="734"/>
      <c r="E21" s="734"/>
      <c r="F21" s="734"/>
      <c r="G21" s="735"/>
      <c r="I21" s="74" t="e">
        <f>IF(AND(N21&lt;=B$5,O21&gt;=S$4),IF(I19=0,2,1),0)</f>
        <v>#N/A</v>
      </c>
      <c r="J21" s="55">
        <v>3</v>
      </c>
      <c r="K21" s="55">
        <v>240</v>
      </c>
      <c r="L21" s="75">
        <f t="shared" si="7"/>
        <v>1374</v>
      </c>
      <c r="M21" s="75">
        <f t="shared" si="8"/>
        <v>1164</v>
      </c>
      <c r="N21" s="56" t="e">
        <f t="shared" si="1"/>
        <v>#N/A</v>
      </c>
      <c r="O21" s="57" t="e">
        <f t="shared" si="2"/>
        <v>#N/A</v>
      </c>
      <c r="P21" s="101">
        <f t="shared" si="9"/>
        <v>47.853000000000002</v>
      </c>
      <c r="Q21" s="109" t="s">
        <v>57</v>
      </c>
    </row>
    <row r="22" spans="1:17" ht="15" customHeight="1" thickBot="1" x14ac:dyDescent="0.25">
      <c r="A22" s="110"/>
      <c r="B22" s="76" t="s">
        <v>62</v>
      </c>
      <c r="C22" s="736" t="s">
        <v>189</v>
      </c>
      <c r="D22" s="737"/>
      <c r="E22" s="738"/>
      <c r="F22" s="77" t="s">
        <v>46</v>
      </c>
      <c r="I22" s="78" t="e">
        <f>IF(AND(N22&lt;=B$5,O22&gt;=S$4),IF(I20=0,2,1),0)</f>
        <v>#N/A</v>
      </c>
      <c r="J22" s="58">
        <v>3</v>
      </c>
      <c r="K22" s="58">
        <v>185</v>
      </c>
      <c r="L22" s="79">
        <f>J22*VLOOKUP(K22,K4:M11,2,FALSE)</f>
        <v>1194</v>
      </c>
      <c r="M22" s="79">
        <f>J22*VLOOKUP(K22,K4:M11,3,FALSE)</f>
        <v>1011</v>
      </c>
      <c r="N22" s="59" t="e">
        <f t="shared" si="1"/>
        <v>#N/A</v>
      </c>
      <c r="O22" s="60" t="e">
        <f t="shared" si="2"/>
        <v>#N/A</v>
      </c>
      <c r="P22" s="111">
        <f>J22*P11</f>
        <v>47.853000000000002</v>
      </c>
      <c r="Q22" s="112" t="s">
        <v>57</v>
      </c>
    </row>
    <row r="23" spans="1:17" ht="15" customHeight="1" thickBot="1" x14ac:dyDescent="0.25">
      <c r="A23" s="113" t="s">
        <v>95</v>
      </c>
      <c r="B23" s="114" t="e">
        <f>B3*E15</f>
        <v>#N/A</v>
      </c>
      <c r="C23" s="80" t="e">
        <f>IF(B2&lt;=36,1,0)*IF(B8=1,8,4)*B15</f>
        <v>#N/A</v>
      </c>
      <c r="D23" s="81" t="e">
        <f>VLOOKUP(1,I40:O41,2,FALSE)</f>
        <v>#N/A</v>
      </c>
      <c r="E23" s="82" t="e">
        <f>IF(B23&lt;&gt;0,C23*VLOOKUP(1,I40:O41,7,FALSE),0)</f>
        <v>#N/A</v>
      </c>
      <c r="F23" s="115" t="e">
        <f>B23+E23</f>
        <v>#N/A</v>
      </c>
      <c r="J23" s="27"/>
      <c r="K23" s="27"/>
      <c r="L23" s="27"/>
      <c r="M23" s="27"/>
      <c r="N23" s="28"/>
      <c r="O23" s="29"/>
      <c r="P23" s="116"/>
      <c r="Q23" s="116"/>
    </row>
    <row r="24" spans="1:17" ht="15" customHeight="1" thickBot="1" x14ac:dyDescent="0.25">
      <c r="A24" s="105" t="s">
        <v>94</v>
      </c>
      <c r="B24" s="117" t="e">
        <f>B3*E16</f>
        <v>#N/A</v>
      </c>
      <c r="C24" s="118"/>
      <c r="D24" s="119"/>
      <c r="E24" s="120"/>
      <c r="F24" s="121" t="e">
        <f>B24</f>
        <v>#N/A</v>
      </c>
      <c r="I24" s="63" t="s">
        <v>166</v>
      </c>
      <c r="J24" s="83" t="s">
        <v>188</v>
      </c>
      <c r="K24" s="64">
        <v>2.3E-2</v>
      </c>
      <c r="L24" s="53" t="s">
        <v>168</v>
      </c>
      <c r="M24" s="53" t="s">
        <v>169</v>
      </c>
      <c r="N24" s="53" t="s">
        <v>10</v>
      </c>
      <c r="O24" s="53" t="s">
        <v>170</v>
      </c>
      <c r="P24" s="730" t="s">
        <v>62</v>
      </c>
      <c r="Q24" s="731"/>
    </row>
    <row r="25" spans="1:17" ht="15" customHeight="1" x14ac:dyDescent="0.2">
      <c r="I25" s="32">
        <v>0</v>
      </c>
      <c r="J25" s="61"/>
      <c r="K25" s="61"/>
      <c r="L25" s="12" t="s">
        <v>91</v>
      </c>
      <c r="M25" s="12" t="s">
        <v>176</v>
      </c>
      <c r="N25" s="12"/>
      <c r="O25" s="12"/>
      <c r="P25" s="12" t="s">
        <v>177</v>
      </c>
      <c r="Q25" s="13" t="s">
        <v>178</v>
      </c>
    </row>
    <row r="26" spans="1:17" ht="15" customHeight="1" x14ac:dyDescent="0.2">
      <c r="A26" s="31" t="s">
        <v>190</v>
      </c>
      <c r="B26" s="726" t="e">
        <f>IF(B6="Al",B20,B21)</f>
        <v>#REF!</v>
      </c>
      <c r="C26" s="727"/>
      <c r="D26" s="727"/>
      <c r="E26" s="727"/>
      <c r="F26" s="727"/>
      <c r="G26" s="728"/>
      <c r="I26" s="32" t="e">
        <f>IF(AND(N26&lt;=B$5,O26&gt;=S$4),IF(I25=0,2,1),0)</f>
        <v>#N/A</v>
      </c>
      <c r="J26" s="23">
        <v>1</v>
      </c>
      <c r="K26" s="17">
        <v>10</v>
      </c>
      <c r="L26" s="17">
        <f>VLOOKUP(K26,DB_Câble!H2:L12,2)</f>
        <v>104</v>
      </c>
      <c r="M26" s="40">
        <f>VLOOKUP(K26,DB_Câble!H2:L12,3)</f>
        <v>87</v>
      </c>
      <c r="N26" s="14" t="e">
        <f>(B$8*(K$24*(B$3/(K26*J26))*B$11)*B$4)/B$12</f>
        <v>#N/A</v>
      </c>
      <c r="O26" s="15">
        <f>M26*B$9*B$10</f>
        <v>69.600000000000009</v>
      </c>
      <c r="P26" s="122">
        <f>VLOOKUP(K26,DB_Câble!H2:L12,4)*E$12</f>
        <v>4.7969999999999997</v>
      </c>
      <c r="Q26" s="123">
        <f>VLOOKUP(K26,DB_Câble!H2:L12,5)*E$12</f>
        <v>3.718</v>
      </c>
    </row>
    <row r="27" spans="1:17" ht="15" customHeight="1" x14ac:dyDescent="0.2">
      <c r="A27" s="31" t="s">
        <v>62</v>
      </c>
      <c r="B27" s="124" t="e">
        <f>IF(B6="Al",B30+B23+E23,B24+B30)</f>
        <v>#REF!</v>
      </c>
      <c r="C27" s="124" t="e">
        <f>IF(B6="Al",B32*B3+E23,B32*B3)</f>
        <v>#REF!</v>
      </c>
      <c r="I27" s="32" t="e">
        <f t="shared" ref="I27:I36" si="10">IF(AND(N27&lt;=B$5,O27&gt;=S$4),IF(I26=0,2,1),0)</f>
        <v>#N/A</v>
      </c>
      <c r="J27" s="23">
        <v>1</v>
      </c>
      <c r="K27" s="17">
        <v>16</v>
      </c>
      <c r="L27" s="17">
        <f>VLOOKUP(K27,DB_Câble!H3:L13,2)</f>
        <v>136</v>
      </c>
      <c r="M27" s="40">
        <f>VLOOKUP(K27,DB_Câble!H3:L13,3)</f>
        <v>113</v>
      </c>
      <c r="N27" s="14" t="e">
        <f>(B$8*(K$24*(B$3/(K27*J27))*B$11)*B$4)/B$12</f>
        <v>#N/A</v>
      </c>
      <c r="O27" s="15">
        <f>M27*B$9*B$10</f>
        <v>90.4</v>
      </c>
      <c r="P27" s="122">
        <f>VLOOKUP(K27,DB_Câble!H3:L13,4)*E$12</f>
        <v>9.2690000000000001</v>
      </c>
      <c r="Q27" s="123">
        <f>VLOOKUP(K27,DB_Câble!H3:L13,5)*E$12</f>
        <v>5.8109999999999999</v>
      </c>
    </row>
    <row r="28" spans="1:17" ht="15" customHeight="1" thickBot="1" x14ac:dyDescent="0.25">
      <c r="A28" s="722" t="e">
        <f>IF(B6="Cu",CONCATENATE(ROUNDUP((E16*B3+B30)/B3,2)," €/m"),CONCATENATE(ROUNDUP((E15*B3+B30)/B3,2)," €/m",IF(C23&lt;&gt;0,CONCATENATE(" + ",C23," x ",D23," : ",E23,"€"),"")))</f>
        <v>#REF!</v>
      </c>
      <c r="B28" s="723"/>
      <c r="C28" s="724"/>
      <c r="D28" s="724"/>
      <c r="E28" s="724"/>
      <c r="F28" s="724"/>
      <c r="G28" s="725"/>
      <c r="I28" s="32" t="e">
        <f t="shared" si="10"/>
        <v>#N/A</v>
      </c>
      <c r="J28" s="23">
        <v>1</v>
      </c>
      <c r="K28" s="17">
        <v>25</v>
      </c>
      <c r="L28" s="17">
        <f>VLOOKUP(K28,DB_Câble!H4:L14,2)</f>
        <v>173</v>
      </c>
      <c r="M28" s="40">
        <f>VLOOKUP(K28,DB_Câble!H4:L14,3)</f>
        <v>144</v>
      </c>
      <c r="N28" s="14" t="e">
        <f>(B$8*(K$24*(B$3/(K28*J28))*B$11)*B$4)/B$12</f>
        <v>#N/A</v>
      </c>
      <c r="O28" s="15">
        <f>M28*B$9*B$10</f>
        <v>115.2</v>
      </c>
      <c r="P28" s="122">
        <f>VLOOKUP(K28,DB_Câble!H4:L14,4)*E$12</f>
        <v>15.574000000000002</v>
      </c>
      <c r="Q28" s="123">
        <f>VLOOKUP(K28,DB_Câble!H4:L14,5)*E$12</f>
        <v>8.4500000000000011</v>
      </c>
    </row>
    <row r="29" spans="1:17" ht="15" customHeight="1" thickBot="1" x14ac:dyDescent="0.25">
      <c r="A29" s="160" t="s">
        <v>544</v>
      </c>
      <c r="B29" s="161">
        <v>4000</v>
      </c>
      <c r="I29" s="32" t="e">
        <f t="shared" si="10"/>
        <v>#N/A</v>
      </c>
      <c r="J29" s="23">
        <v>1</v>
      </c>
      <c r="K29" s="17">
        <v>35</v>
      </c>
      <c r="L29" s="17">
        <f>VLOOKUP(K29,DB_Câble!H5:L15,2)</f>
        <v>208</v>
      </c>
      <c r="M29" s="40">
        <f>VLOOKUP(K29,DB_Câble!H5:L15,3)</f>
        <v>174</v>
      </c>
      <c r="N29" s="14" t="e">
        <f t="shared" ref="N29:N36" si="11">(B$8*(K$24*(B$3/(K29*J29))*B$11)*B$4)/B$12</f>
        <v>#N/A</v>
      </c>
      <c r="O29" s="15">
        <f t="shared" ref="O29:O36" si="12">M29*B$9*B$10</f>
        <v>139.20000000000002</v>
      </c>
      <c r="P29" s="122">
        <f>VLOOKUP(K29,DB_Câble!H5:L15,4)*E$12</f>
        <v>0</v>
      </c>
      <c r="Q29" s="123">
        <f>VLOOKUP(K29,DB_Câble!H5:L15,5)*E$12</f>
        <v>0</v>
      </c>
    </row>
    <row r="30" spans="1:17" ht="15" customHeight="1" thickBot="1" x14ac:dyDescent="0.25">
      <c r="A30" s="160" t="s">
        <v>545</v>
      </c>
      <c r="B30" s="161" t="e">
        <f>IF(B6="Al",IF(B15&gt;2,B29,0),IF(B16&gt;2,B29,0))</f>
        <v>#REF!</v>
      </c>
      <c r="I30" s="32" t="e">
        <f t="shared" si="10"/>
        <v>#N/A</v>
      </c>
      <c r="J30" s="23">
        <v>1</v>
      </c>
      <c r="K30" s="16">
        <v>50</v>
      </c>
      <c r="L30" s="17">
        <f>VLOOKUP(K30,DB_Câble!H6:L16,2)</f>
        <v>247</v>
      </c>
      <c r="M30" s="40">
        <f>VLOOKUP(K30,DB_Câble!H6:L16,3)</f>
        <v>206</v>
      </c>
      <c r="N30" s="14" t="e">
        <f t="shared" si="11"/>
        <v>#N/A</v>
      </c>
      <c r="O30" s="15">
        <f t="shared" si="12"/>
        <v>164.8</v>
      </c>
      <c r="P30" s="122">
        <f>VLOOKUP(K30,DB_Câble!H6:L16,4)*E$12</f>
        <v>0</v>
      </c>
      <c r="Q30" s="123">
        <f>VLOOKUP(K30,DB_Câble!H6:L16,5)*E$12</f>
        <v>0</v>
      </c>
    </row>
    <row r="31" spans="1:17" ht="15" customHeight="1" x14ac:dyDescent="0.2">
      <c r="I31" s="32" t="e">
        <f t="shared" si="10"/>
        <v>#N/A</v>
      </c>
      <c r="J31" s="23">
        <v>1</v>
      </c>
      <c r="K31" s="17">
        <v>70</v>
      </c>
      <c r="L31" s="17">
        <f>VLOOKUP(K31,DB_Câble!H7:L17,2)</f>
        <v>304</v>
      </c>
      <c r="M31" s="40">
        <f>VLOOKUP(K31,DB_Câble!H7:L17,3)</f>
        <v>254</v>
      </c>
      <c r="N31" s="14" t="e">
        <f t="shared" si="11"/>
        <v>#N/A</v>
      </c>
      <c r="O31" s="15">
        <f t="shared" si="12"/>
        <v>203.20000000000002</v>
      </c>
      <c r="P31" s="122">
        <f>VLOOKUP(K31,DB_Câble!H7:L17,4)*E$12</f>
        <v>0</v>
      </c>
      <c r="Q31" s="123">
        <f>VLOOKUP(K31,DB_Câble!H7:L17,5)*E$12</f>
        <v>0</v>
      </c>
    </row>
    <row r="32" spans="1:17" ht="15" customHeight="1" x14ac:dyDescent="0.2">
      <c r="B32" s="62" t="e">
        <f>ROUNDUP(IF(B6="Cu",(E16*B3+B30)/B3,(E15*B3+B30)/B3),2)</f>
        <v>#REF!</v>
      </c>
      <c r="I32" s="32" t="e">
        <f t="shared" si="10"/>
        <v>#N/A</v>
      </c>
      <c r="J32" s="23">
        <v>1</v>
      </c>
      <c r="K32" s="17">
        <v>95</v>
      </c>
      <c r="L32" s="17">
        <f>VLOOKUP(K32,DB_Câble!H8:L18,2)</f>
        <v>360</v>
      </c>
      <c r="M32" s="40">
        <f>VLOOKUP(K32,DB_Câble!H8:L18,3)</f>
        <v>301</v>
      </c>
      <c r="N32" s="14" t="e">
        <f t="shared" si="11"/>
        <v>#N/A</v>
      </c>
      <c r="O32" s="15">
        <f t="shared" si="12"/>
        <v>240.8</v>
      </c>
      <c r="P32" s="122">
        <f>VLOOKUP(K32,DB_Câble!H8:L18,4)*E$12</f>
        <v>0</v>
      </c>
      <c r="Q32" s="123">
        <f>VLOOKUP(K32,DB_Câble!H8:L18,5)*E$12</f>
        <v>0</v>
      </c>
    </row>
    <row r="33" spans="9:17" ht="15" customHeight="1" x14ac:dyDescent="0.2">
      <c r="I33" s="32" t="e">
        <f t="shared" si="10"/>
        <v>#N/A</v>
      </c>
      <c r="J33" s="23">
        <v>1</v>
      </c>
      <c r="K33" s="17">
        <v>120</v>
      </c>
      <c r="L33" s="17">
        <f>VLOOKUP(K33,DB_Câble!H9:L19,2)</f>
        <v>410</v>
      </c>
      <c r="M33" s="40">
        <f>VLOOKUP(K33,DB_Câble!H9:L19,3)</f>
        <v>343</v>
      </c>
      <c r="N33" s="14" t="e">
        <f t="shared" si="11"/>
        <v>#N/A</v>
      </c>
      <c r="O33" s="15">
        <f t="shared" si="12"/>
        <v>274.40000000000003</v>
      </c>
      <c r="P33" s="122">
        <f>VLOOKUP(K33,DB_Câble!H9:L19,4)*E$12</f>
        <v>0</v>
      </c>
      <c r="Q33" s="123">
        <f>VLOOKUP(K33,DB_Câble!H9:L19,5)*E$12</f>
        <v>0</v>
      </c>
    </row>
    <row r="34" spans="9:17" ht="15" customHeight="1" x14ac:dyDescent="0.2">
      <c r="I34" s="32" t="e">
        <f t="shared" si="10"/>
        <v>#N/A</v>
      </c>
      <c r="J34" s="23">
        <v>1</v>
      </c>
      <c r="K34" s="17">
        <v>150</v>
      </c>
      <c r="L34" s="17">
        <f>VLOOKUP(K34,DB_Câble!H10:L20,2)</f>
        <v>463</v>
      </c>
      <c r="M34" s="40">
        <f>VLOOKUP(K34,DB_Câble!H10:L20,3)</f>
        <v>387</v>
      </c>
      <c r="N34" s="14" t="e">
        <f t="shared" si="11"/>
        <v>#N/A</v>
      </c>
      <c r="O34" s="15">
        <f t="shared" si="12"/>
        <v>309.60000000000002</v>
      </c>
      <c r="P34" s="122">
        <f>VLOOKUP(K34,DB_Câble!H10:L20,4)*E$12</f>
        <v>0</v>
      </c>
      <c r="Q34" s="123">
        <f>VLOOKUP(K34,DB_Câble!H10:L20,5)*E$12</f>
        <v>0</v>
      </c>
    </row>
    <row r="35" spans="9:17" ht="15" customHeight="1" x14ac:dyDescent="0.2">
      <c r="I35" s="32" t="e">
        <f t="shared" si="10"/>
        <v>#N/A</v>
      </c>
      <c r="J35" s="23">
        <v>1</v>
      </c>
      <c r="K35" s="17">
        <v>185</v>
      </c>
      <c r="L35" s="17">
        <f>VLOOKUP(K35,DB_Câble!H11:L21,2)</f>
        <v>518</v>
      </c>
      <c r="M35" s="40">
        <f>VLOOKUP(K35,DB_Câble!H11:L21,3)</f>
        <v>434</v>
      </c>
      <c r="N35" s="14" t="e">
        <f t="shared" si="11"/>
        <v>#N/A</v>
      </c>
      <c r="O35" s="15">
        <f t="shared" si="12"/>
        <v>347.20000000000005</v>
      </c>
      <c r="P35" s="122">
        <f>VLOOKUP(K35,DB_Câble!H11:L21,4)*E$12</f>
        <v>0</v>
      </c>
      <c r="Q35" s="123">
        <f>VLOOKUP(K35,DB_Câble!H11:L21,5)*E$12</f>
        <v>0</v>
      </c>
    </row>
    <row r="36" spans="9:17" ht="15" customHeight="1" thickBot="1" x14ac:dyDescent="0.25">
      <c r="I36" s="84" t="e">
        <f t="shared" si="10"/>
        <v>#N/A</v>
      </c>
      <c r="J36" s="24">
        <v>1</v>
      </c>
      <c r="K36" s="30">
        <v>240</v>
      </c>
      <c r="L36" s="17">
        <f>VLOOKUP(K36,DB_Câble!H12:L22,2)</f>
        <v>598</v>
      </c>
      <c r="M36" s="40">
        <f>VLOOKUP(K36,DB_Câble!H12:L22,3)</f>
        <v>501</v>
      </c>
      <c r="N36" s="25" t="e">
        <f t="shared" si="11"/>
        <v>#N/A</v>
      </c>
      <c r="O36" s="26">
        <f t="shared" si="12"/>
        <v>400.8</v>
      </c>
      <c r="P36" s="122">
        <f>VLOOKUP(K36,DB_Câble!H12:L22,4)*E$12</f>
        <v>0</v>
      </c>
      <c r="Q36" s="123">
        <f>VLOOKUP(K36,DB_Câble!H12:L22,5)*E$12</f>
        <v>0</v>
      </c>
    </row>
    <row r="37" spans="9:17" ht="15" customHeight="1" x14ac:dyDescent="0.2"/>
    <row r="38" spans="9:17" ht="15" customHeight="1" thickBot="1" x14ac:dyDescent="0.25"/>
    <row r="39" spans="9:17" ht="15" customHeight="1" x14ac:dyDescent="0.2">
      <c r="I39" s="63" t="s">
        <v>166</v>
      </c>
      <c r="J39" s="53" t="s">
        <v>191</v>
      </c>
      <c r="K39" s="53" t="s">
        <v>192</v>
      </c>
      <c r="L39" s="53" t="s">
        <v>193</v>
      </c>
      <c r="M39" s="53"/>
      <c r="N39" s="53"/>
      <c r="O39" s="54" t="s">
        <v>62</v>
      </c>
    </row>
    <row r="40" spans="9:17" ht="15" customHeight="1" x14ac:dyDescent="0.2">
      <c r="I40" s="32" t="e">
        <f>IF(AND(K40&lt;=C$15,C$15&lt;L40),1,0)</f>
        <v>#N/A</v>
      </c>
      <c r="J40" s="125" t="str">
        <f>DB_Câble!N2</f>
        <v>Michaud K127</v>
      </c>
      <c r="K40" s="125">
        <f>DB_Câble!O2</f>
        <v>25</v>
      </c>
      <c r="L40" s="125">
        <f>DB_Câble!P2</f>
        <v>95</v>
      </c>
      <c r="M40" s="126"/>
      <c r="N40" s="126"/>
      <c r="O40" s="123">
        <f>DB_Câble!Q2</f>
        <v>39</v>
      </c>
    </row>
    <row r="41" spans="9:17" ht="15" customHeight="1" thickBot="1" x14ac:dyDescent="0.25">
      <c r="I41" s="84" t="e">
        <f>IF(AND(K41&lt;=C$15,C$15&lt;=L41),1,0)</f>
        <v>#N/A</v>
      </c>
      <c r="J41" s="125" t="str">
        <f>DB_Câble!N3</f>
        <v>Michaud K126</v>
      </c>
      <c r="K41" s="125">
        <f>DB_Câble!O3</f>
        <v>95</v>
      </c>
      <c r="L41" s="125">
        <f>DB_Câble!P3</f>
        <v>240</v>
      </c>
      <c r="M41" s="127"/>
      <c r="N41" s="127"/>
      <c r="O41" s="123">
        <f>DB_Câble!Q3</f>
        <v>79</v>
      </c>
    </row>
  </sheetData>
  <mergeCells count="8">
    <mergeCell ref="A28:G28"/>
    <mergeCell ref="B26:G26"/>
    <mergeCell ref="K1:M1"/>
    <mergeCell ref="P2:Q2"/>
    <mergeCell ref="B20:G20"/>
    <mergeCell ref="B21:G21"/>
    <mergeCell ref="C22:E22"/>
    <mergeCell ref="P24:Q2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B1:Q24"/>
  <sheetViews>
    <sheetView workbookViewId="0">
      <selection activeCell="L30" sqref="L29:L30"/>
    </sheetView>
  </sheetViews>
  <sheetFormatPr baseColWidth="10" defaultColWidth="11.42578125" defaultRowHeight="12.75" x14ac:dyDescent="0.2"/>
  <sheetData>
    <row r="1" spans="2:17" ht="13.5" thickBot="1" x14ac:dyDescent="0.25">
      <c r="B1" s="33" t="s">
        <v>203</v>
      </c>
      <c r="C1" s="33" t="s">
        <v>168</v>
      </c>
      <c r="D1" s="33" t="s">
        <v>204</v>
      </c>
      <c r="E1" s="33" t="s">
        <v>205</v>
      </c>
      <c r="F1" s="33" t="s">
        <v>206</v>
      </c>
      <c r="G1" s="33"/>
      <c r="H1" s="33" t="s">
        <v>207</v>
      </c>
      <c r="I1" s="33" t="s">
        <v>168</v>
      </c>
      <c r="J1" s="33" t="s">
        <v>204</v>
      </c>
      <c r="K1" s="33" t="s">
        <v>205</v>
      </c>
      <c r="L1" s="33" t="s">
        <v>206</v>
      </c>
      <c r="M1" s="33"/>
      <c r="N1" s="33" t="s">
        <v>208</v>
      </c>
      <c r="O1" s="33" t="s">
        <v>192</v>
      </c>
      <c r="P1" s="33" t="s">
        <v>209</v>
      </c>
      <c r="Q1" s="33" t="s">
        <v>4</v>
      </c>
    </row>
    <row r="2" spans="2:17" x14ac:dyDescent="0.2">
      <c r="B2" s="149">
        <v>35</v>
      </c>
      <c r="C2" s="128">
        <v>160</v>
      </c>
      <c r="D2" s="128">
        <v>134</v>
      </c>
      <c r="E2" s="150">
        <v>2.74</v>
      </c>
      <c r="F2" s="151">
        <v>2.5</v>
      </c>
      <c r="H2" s="130">
        <v>1.5</v>
      </c>
      <c r="I2" s="131">
        <v>37</v>
      </c>
      <c r="J2" s="132">
        <v>31</v>
      </c>
      <c r="K2" s="133">
        <v>3.69</v>
      </c>
      <c r="L2" s="134">
        <v>0</v>
      </c>
      <c r="N2" s="38" t="s">
        <v>194</v>
      </c>
      <c r="O2" s="39">
        <v>25</v>
      </c>
      <c r="P2" s="39">
        <v>95</v>
      </c>
      <c r="Q2" s="37">
        <v>39</v>
      </c>
    </row>
    <row r="3" spans="2:17" ht="13.5" thickBot="1" x14ac:dyDescent="0.25">
      <c r="B3" s="152">
        <v>50</v>
      </c>
      <c r="C3" s="40">
        <v>188</v>
      </c>
      <c r="D3" s="34">
        <v>160</v>
      </c>
      <c r="E3" s="35">
        <v>2.88</v>
      </c>
      <c r="F3" s="36">
        <v>3</v>
      </c>
      <c r="H3" s="135">
        <v>2.5</v>
      </c>
      <c r="I3" s="136">
        <v>48</v>
      </c>
      <c r="J3" s="137">
        <v>41</v>
      </c>
      <c r="K3" s="138">
        <v>3.69</v>
      </c>
      <c r="L3" s="139">
        <v>0</v>
      </c>
      <c r="N3" s="41" t="s">
        <v>195</v>
      </c>
      <c r="O3" s="42">
        <v>95</v>
      </c>
      <c r="P3" s="42">
        <v>240</v>
      </c>
      <c r="Q3" s="43">
        <v>79</v>
      </c>
    </row>
    <row r="4" spans="2:17" x14ac:dyDescent="0.2">
      <c r="B4" s="129">
        <v>70</v>
      </c>
      <c r="C4" s="17">
        <v>233</v>
      </c>
      <c r="D4" s="18">
        <v>197</v>
      </c>
      <c r="E4" s="35">
        <v>3.94</v>
      </c>
      <c r="F4" s="36" t="s">
        <v>57</v>
      </c>
      <c r="H4" s="135">
        <v>4</v>
      </c>
      <c r="I4" s="136">
        <v>63</v>
      </c>
      <c r="J4" s="137">
        <v>53</v>
      </c>
      <c r="K4" s="138">
        <v>3.69</v>
      </c>
      <c r="L4" s="140">
        <v>0</v>
      </c>
    </row>
    <row r="5" spans="2:17" x14ac:dyDescent="0.2">
      <c r="B5" s="129">
        <v>95</v>
      </c>
      <c r="C5" s="17">
        <v>275</v>
      </c>
      <c r="D5" s="18">
        <v>234</v>
      </c>
      <c r="E5" s="35">
        <v>5.12</v>
      </c>
      <c r="F5" s="36" t="s">
        <v>57</v>
      </c>
      <c r="H5" s="141">
        <v>6</v>
      </c>
      <c r="I5" s="142">
        <v>80</v>
      </c>
      <c r="J5" s="142">
        <v>66</v>
      </c>
      <c r="K5" s="143">
        <v>3.69</v>
      </c>
      <c r="L5" s="144">
        <v>0</v>
      </c>
    </row>
    <row r="6" spans="2:17" x14ac:dyDescent="0.2">
      <c r="B6" s="129">
        <v>120</v>
      </c>
      <c r="C6" s="17">
        <v>314</v>
      </c>
      <c r="D6" s="18">
        <v>266</v>
      </c>
      <c r="E6" s="35">
        <v>6.4</v>
      </c>
      <c r="F6" s="36" t="s">
        <v>57</v>
      </c>
      <c r="H6" s="141">
        <v>10</v>
      </c>
      <c r="I6" s="142">
        <v>104</v>
      </c>
      <c r="J6" s="142">
        <v>87</v>
      </c>
      <c r="K6" s="143">
        <v>3.69</v>
      </c>
      <c r="L6" s="144">
        <v>2.86</v>
      </c>
    </row>
    <row r="7" spans="2:17" x14ac:dyDescent="0.2">
      <c r="B7" s="129">
        <v>150</v>
      </c>
      <c r="C7" s="17">
        <v>359</v>
      </c>
      <c r="D7" s="18">
        <v>300</v>
      </c>
      <c r="E7" s="35">
        <v>7.66</v>
      </c>
      <c r="F7" s="36" t="s">
        <v>57</v>
      </c>
      <c r="H7" s="141">
        <v>16</v>
      </c>
      <c r="I7" s="142">
        <v>136</v>
      </c>
      <c r="J7" s="142">
        <v>113</v>
      </c>
      <c r="K7" s="143">
        <v>7.13</v>
      </c>
      <c r="L7" s="144">
        <v>4.47</v>
      </c>
    </row>
    <row r="8" spans="2:17" x14ac:dyDescent="0.2">
      <c r="B8" s="129">
        <v>185</v>
      </c>
      <c r="C8" s="17">
        <v>398</v>
      </c>
      <c r="D8" s="18">
        <v>337</v>
      </c>
      <c r="E8" s="35">
        <v>9.41</v>
      </c>
      <c r="F8" s="36" t="s">
        <v>57</v>
      </c>
      <c r="H8" s="141">
        <v>25</v>
      </c>
      <c r="I8" s="142">
        <v>173</v>
      </c>
      <c r="J8" s="142">
        <v>144</v>
      </c>
      <c r="K8" s="143">
        <v>11.98</v>
      </c>
      <c r="L8" s="144">
        <v>6.5</v>
      </c>
    </row>
    <row r="9" spans="2:17" ht="13.5" thickBot="1" x14ac:dyDescent="0.25">
      <c r="B9" s="153">
        <v>240</v>
      </c>
      <c r="C9" s="30">
        <v>458</v>
      </c>
      <c r="D9" s="154">
        <v>388</v>
      </c>
      <c r="E9" s="155">
        <v>12.27</v>
      </c>
      <c r="F9" s="156" t="s">
        <v>57</v>
      </c>
      <c r="H9" s="141">
        <v>35</v>
      </c>
      <c r="I9" s="142">
        <v>208</v>
      </c>
      <c r="J9" s="142">
        <v>174</v>
      </c>
      <c r="K9" s="143">
        <v>0</v>
      </c>
      <c r="L9" s="144">
        <v>0</v>
      </c>
    </row>
    <row r="10" spans="2:17" x14ac:dyDescent="0.2">
      <c r="H10" s="141">
        <v>50</v>
      </c>
      <c r="I10" s="142">
        <v>247</v>
      </c>
      <c r="J10" s="142">
        <v>206</v>
      </c>
      <c r="K10" s="143">
        <v>0</v>
      </c>
      <c r="L10" s="144">
        <v>0</v>
      </c>
    </row>
    <row r="11" spans="2:17" x14ac:dyDescent="0.2">
      <c r="H11" s="141">
        <v>70</v>
      </c>
      <c r="I11" s="142">
        <v>304</v>
      </c>
      <c r="J11" s="142">
        <v>254</v>
      </c>
      <c r="K11" s="143">
        <v>0</v>
      </c>
      <c r="L11" s="144">
        <v>0</v>
      </c>
    </row>
    <row r="12" spans="2:17" ht="13.5" thickBot="1" x14ac:dyDescent="0.25">
      <c r="H12" s="145">
        <v>95</v>
      </c>
      <c r="I12" s="146">
        <v>360</v>
      </c>
      <c r="J12" s="146">
        <v>301</v>
      </c>
      <c r="K12" s="147">
        <v>0</v>
      </c>
      <c r="L12" s="148">
        <v>0</v>
      </c>
    </row>
    <row r="13" spans="2:17" x14ac:dyDescent="0.2">
      <c r="H13">
        <v>120</v>
      </c>
      <c r="I13">
        <v>410</v>
      </c>
      <c r="J13">
        <v>343</v>
      </c>
      <c r="K13" s="44">
        <v>0</v>
      </c>
      <c r="L13" s="44">
        <v>0</v>
      </c>
    </row>
    <row r="14" spans="2:17" x14ac:dyDescent="0.2">
      <c r="H14">
        <v>150</v>
      </c>
      <c r="I14">
        <v>463</v>
      </c>
      <c r="J14">
        <v>387</v>
      </c>
      <c r="K14" s="44">
        <v>0</v>
      </c>
      <c r="L14" s="44">
        <v>0</v>
      </c>
    </row>
    <row r="15" spans="2:17" x14ac:dyDescent="0.2">
      <c r="H15">
        <v>185</v>
      </c>
      <c r="I15">
        <v>518</v>
      </c>
      <c r="J15">
        <v>434</v>
      </c>
      <c r="K15" s="44">
        <v>0</v>
      </c>
      <c r="L15" s="44">
        <v>0</v>
      </c>
    </row>
    <row r="16" spans="2:17" x14ac:dyDescent="0.2">
      <c r="E16" t="s">
        <v>338</v>
      </c>
      <c r="F16" t="s">
        <v>339</v>
      </c>
      <c r="H16">
        <v>240</v>
      </c>
      <c r="I16">
        <v>598</v>
      </c>
      <c r="J16">
        <v>501</v>
      </c>
      <c r="K16" s="44">
        <v>0</v>
      </c>
      <c r="L16" s="44">
        <v>0</v>
      </c>
    </row>
    <row r="17" spans="5:6" x14ac:dyDescent="0.2">
      <c r="E17" s="44">
        <v>2.74</v>
      </c>
      <c r="F17" s="44">
        <v>3.56</v>
      </c>
    </row>
    <row r="18" spans="5:6" x14ac:dyDescent="0.2">
      <c r="E18" s="44">
        <v>2.88</v>
      </c>
      <c r="F18" s="44">
        <v>3.74</v>
      </c>
    </row>
    <row r="19" spans="5:6" x14ac:dyDescent="0.2">
      <c r="E19" s="44">
        <v>3.94</v>
      </c>
      <c r="F19" s="44">
        <v>5.12</v>
      </c>
    </row>
    <row r="20" spans="5:6" x14ac:dyDescent="0.2">
      <c r="E20" s="44">
        <v>5.12</v>
      </c>
      <c r="F20" s="44">
        <v>6.66</v>
      </c>
    </row>
    <row r="21" spans="5:6" x14ac:dyDescent="0.2">
      <c r="E21" s="44">
        <v>6.4</v>
      </c>
      <c r="F21" s="44">
        <v>8.32</v>
      </c>
    </row>
    <row r="22" spans="5:6" x14ac:dyDescent="0.2">
      <c r="E22" s="44">
        <v>7.66</v>
      </c>
      <c r="F22" s="44">
        <v>9.9600000000000009</v>
      </c>
    </row>
    <row r="23" spans="5:6" x14ac:dyDescent="0.2">
      <c r="E23" s="44">
        <v>9.41</v>
      </c>
      <c r="F23" s="44">
        <v>12.23</v>
      </c>
    </row>
    <row r="24" spans="5:6" x14ac:dyDescent="0.2">
      <c r="E24" s="44">
        <v>12.27</v>
      </c>
      <c r="F24" s="44">
        <v>15.95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9</vt:i4>
      </vt:variant>
    </vt:vector>
  </HeadingPairs>
  <TitlesOfParts>
    <vt:vector size="18" baseType="lpstr">
      <vt:lpstr>DONNEES</vt:lpstr>
      <vt:lpstr>METRE</vt:lpstr>
      <vt:lpstr>Feuil1</vt:lpstr>
      <vt:lpstr>Onduleur</vt:lpstr>
      <vt:lpstr>Panneaux</vt:lpstr>
      <vt:lpstr>Kit</vt:lpstr>
      <vt:lpstr>Comm</vt:lpstr>
      <vt:lpstr>Câble</vt:lpstr>
      <vt:lpstr>DB_Câble</vt:lpstr>
      <vt:lpstr>Comm</vt:lpstr>
      <vt:lpstr>Kit</vt:lpstr>
      <vt:lpstr>Ond</vt:lpstr>
      <vt:lpstr>Onduleur</vt:lpstr>
      <vt:lpstr>PV</vt:lpstr>
      <vt:lpstr>remboursement</vt:lpstr>
      <vt:lpstr>type_al</vt:lpstr>
      <vt:lpstr>type_cu</vt:lpstr>
      <vt:lpstr>METRE!Zone_d_impression</vt:lpstr>
    </vt:vector>
  </TitlesOfParts>
  <Company>OMC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Courtin Kélig</dc:creator>
  <cp:lastModifiedBy>Thomas TOUTAIN - Emeraude Solaire</cp:lastModifiedBy>
  <cp:lastPrinted>2025-11-26T15:40:26Z</cp:lastPrinted>
  <dcterms:created xsi:type="dcterms:W3CDTF">2009-04-21T15:12:48Z</dcterms:created>
  <dcterms:modified xsi:type="dcterms:W3CDTF">2025-12-12T14:47:51Z</dcterms:modified>
</cp:coreProperties>
</file>